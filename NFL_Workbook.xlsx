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bbie\Documents\python_works\NFL Project\nfl-performance-analytics\"/>
    </mc:Choice>
  </mc:AlternateContent>
  <xr:revisionPtr revIDLastSave="0" documentId="13_ncr:1_{EC833116-B488-45F4-AB37-9B5B4AAADBE6}" xr6:coauthVersionLast="47" xr6:coauthVersionMax="47" xr10:uidLastSave="{00000000-0000-0000-0000-000000000000}"/>
  <bookViews>
    <workbookView xWindow="-120" yWindow="-120" windowWidth="51840" windowHeight="21120" activeTab="6" xr2:uid="{BAE41068-6C11-47E3-B4C7-DCA360C992CE}"/>
  </bookViews>
  <sheets>
    <sheet name="Attendance" sheetId="4" r:id="rId1"/>
    <sheet name="Standings" sheetId="7" r:id="rId2"/>
    <sheet name="NFL_Teams" sheetId="3" r:id="rId3"/>
    <sheet name="Census" sheetId="10" r:id="rId4"/>
    <sheet name="State_Win_Totals" sheetId="14" r:id="rId5"/>
    <sheet name="Divisional_Ratings" sheetId="8" r:id="rId6"/>
    <sheet name="Income_vs_Wins" sheetId="9" r:id="rId7"/>
    <sheet name="Team_Win_Totals" sheetId="11" r:id="rId8"/>
    <sheet name="Performance_Rating_Trends" sheetId="12" r:id="rId9"/>
    <sheet name="Team_Summary" sheetId="13" r:id="rId10"/>
  </sheets>
  <definedNames>
    <definedName name="_xlchart.v5.0" hidden="1">State_Win_Totals!$A$1</definedName>
    <definedName name="_xlchart.v5.1" hidden="1">State_Win_Totals!$A$2:$A$25</definedName>
    <definedName name="_xlchart.v5.2" hidden="1">State_Win_Totals!$B$1</definedName>
    <definedName name="_xlchart.v5.3" hidden="1">State_Win_Totals!$B$2:$B$25</definedName>
    <definedName name="_xlchart.v5.4" hidden="1">State_Win_Totals!$C$1</definedName>
    <definedName name="_xlchart.v5.5" hidden="1">State_Win_Totals!$C$2:$C$25</definedName>
    <definedName name="ExternalData_1" localSheetId="0" hidden="1">Attendance!$A$1:$F$639</definedName>
    <definedName name="ExternalData_1" localSheetId="3" hidden="1">Census!$A$1:$A$40</definedName>
    <definedName name="ExternalData_1" localSheetId="2" hidden="1">NFL_Teams!$A$1:$I$33</definedName>
    <definedName name="ExternalData_1" localSheetId="1" hidden="1">Standings!$A$1:$K$639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9" l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I33" i="13"/>
  <c r="H33" i="13"/>
  <c r="G33" i="13"/>
  <c r="F33" i="13"/>
  <c r="E33" i="13"/>
  <c r="D33" i="13"/>
  <c r="I32" i="13"/>
  <c r="H32" i="13"/>
  <c r="G32" i="13"/>
  <c r="F32" i="13"/>
  <c r="E32" i="13"/>
  <c r="D32" i="13"/>
  <c r="I31" i="13"/>
  <c r="H31" i="13"/>
  <c r="G31" i="13"/>
  <c r="F31" i="13"/>
  <c r="E31" i="13"/>
  <c r="D31" i="13"/>
  <c r="I30" i="13"/>
  <c r="H30" i="13"/>
  <c r="G30" i="13"/>
  <c r="F30" i="13"/>
  <c r="E30" i="13"/>
  <c r="D30" i="13"/>
  <c r="I29" i="13"/>
  <c r="H29" i="13"/>
  <c r="G29" i="13"/>
  <c r="F29" i="13"/>
  <c r="E29" i="13"/>
  <c r="D29" i="13"/>
  <c r="I28" i="13"/>
  <c r="H28" i="13"/>
  <c r="G28" i="13"/>
  <c r="F28" i="13"/>
  <c r="E28" i="13"/>
  <c r="D28" i="13"/>
  <c r="I27" i="13"/>
  <c r="H27" i="13"/>
  <c r="G27" i="13"/>
  <c r="F27" i="13"/>
  <c r="E27" i="13"/>
  <c r="D27" i="13"/>
  <c r="I26" i="13"/>
  <c r="H26" i="13"/>
  <c r="G26" i="13"/>
  <c r="F26" i="13"/>
  <c r="E26" i="13"/>
  <c r="D26" i="13"/>
  <c r="I25" i="13"/>
  <c r="H25" i="13"/>
  <c r="G25" i="13"/>
  <c r="F25" i="13"/>
  <c r="E25" i="13"/>
  <c r="D25" i="13"/>
  <c r="I24" i="13"/>
  <c r="H24" i="13"/>
  <c r="G24" i="13"/>
  <c r="F24" i="13"/>
  <c r="E24" i="13"/>
  <c r="D24" i="13"/>
  <c r="I23" i="13"/>
  <c r="H23" i="13"/>
  <c r="G23" i="13"/>
  <c r="F23" i="13"/>
  <c r="E23" i="13"/>
  <c r="D23" i="13"/>
  <c r="I22" i="13"/>
  <c r="H22" i="13"/>
  <c r="G22" i="13"/>
  <c r="F22" i="13"/>
  <c r="E22" i="13"/>
  <c r="D22" i="13"/>
  <c r="I21" i="13"/>
  <c r="H21" i="13"/>
  <c r="G21" i="13"/>
  <c r="F21" i="13"/>
  <c r="E21" i="13"/>
  <c r="D21" i="13"/>
  <c r="I20" i="13"/>
  <c r="H20" i="13"/>
  <c r="G20" i="13"/>
  <c r="F20" i="13"/>
  <c r="E20" i="13"/>
  <c r="D20" i="13"/>
  <c r="I19" i="13"/>
  <c r="H19" i="13"/>
  <c r="G19" i="13"/>
  <c r="F19" i="13"/>
  <c r="E19" i="13"/>
  <c r="D19" i="13"/>
  <c r="I18" i="13"/>
  <c r="H18" i="13"/>
  <c r="G18" i="13"/>
  <c r="F18" i="13"/>
  <c r="E18" i="13"/>
  <c r="D18" i="13"/>
  <c r="I17" i="13"/>
  <c r="H17" i="13"/>
  <c r="G17" i="13"/>
  <c r="F17" i="13"/>
  <c r="E17" i="13"/>
  <c r="D17" i="13"/>
  <c r="I16" i="13"/>
  <c r="H16" i="13"/>
  <c r="G16" i="13"/>
  <c r="F16" i="13"/>
  <c r="E16" i="13"/>
  <c r="D16" i="13"/>
  <c r="I15" i="13"/>
  <c r="H15" i="13"/>
  <c r="G15" i="13"/>
  <c r="F15" i="13"/>
  <c r="E15" i="13"/>
  <c r="D15" i="13"/>
  <c r="I14" i="13"/>
  <c r="H14" i="13"/>
  <c r="G14" i="13"/>
  <c r="F14" i="13"/>
  <c r="E14" i="13"/>
  <c r="D14" i="13"/>
  <c r="I13" i="13"/>
  <c r="H13" i="13"/>
  <c r="G13" i="13"/>
  <c r="F13" i="13"/>
  <c r="E13" i="13"/>
  <c r="D13" i="13"/>
  <c r="I12" i="13"/>
  <c r="H12" i="13"/>
  <c r="G12" i="13"/>
  <c r="F12" i="13"/>
  <c r="E12" i="13"/>
  <c r="D12" i="13"/>
  <c r="I11" i="13"/>
  <c r="H11" i="13"/>
  <c r="G11" i="13"/>
  <c r="F11" i="13"/>
  <c r="E11" i="13"/>
  <c r="D11" i="13"/>
  <c r="I10" i="13"/>
  <c r="H10" i="13"/>
  <c r="G10" i="13"/>
  <c r="F10" i="13"/>
  <c r="E10" i="13"/>
  <c r="D10" i="13"/>
  <c r="I9" i="13"/>
  <c r="H9" i="13"/>
  <c r="G9" i="13"/>
  <c r="F9" i="13"/>
  <c r="E9" i="13"/>
  <c r="D9" i="13"/>
  <c r="I8" i="13"/>
  <c r="H8" i="13"/>
  <c r="G8" i="13"/>
  <c r="F8" i="13"/>
  <c r="E8" i="13"/>
  <c r="D8" i="13"/>
  <c r="I7" i="13"/>
  <c r="H7" i="13"/>
  <c r="G7" i="13"/>
  <c r="F7" i="13"/>
  <c r="E7" i="13"/>
  <c r="D7" i="13"/>
  <c r="I6" i="13"/>
  <c r="H6" i="13"/>
  <c r="G6" i="13"/>
  <c r="F6" i="13"/>
  <c r="E6" i="13"/>
  <c r="D6" i="13"/>
  <c r="I5" i="13"/>
  <c r="H5" i="13"/>
  <c r="G5" i="13"/>
  <c r="F5" i="13"/>
  <c r="E5" i="13"/>
  <c r="D5" i="13"/>
  <c r="I4" i="13"/>
  <c r="H4" i="13"/>
  <c r="G4" i="13"/>
  <c r="F4" i="13"/>
  <c r="E4" i="13"/>
  <c r="D4" i="13"/>
  <c r="I3" i="13"/>
  <c r="H3" i="13"/>
  <c r="G3" i="13"/>
  <c r="F3" i="13"/>
  <c r="E3" i="13"/>
  <c r="D3" i="13"/>
  <c r="I2" i="13"/>
  <c r="H2" i="13"/>
  <c r="G2" i="13"/>
  <c r="F2" i="13"/>
  <c r="E2" i="13"/>
  <c r="D2" i="13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D44" i="8"/>
  <c r="C44" i="8"/>
  <c r="D39" i="8"/>
  <c r="C39" i="8"/>
  <c r="E33" i="8"/>
  <c r="D33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43" i="8" s="1"/>
  <c r="D26" i="8"/>
  <c r="C43" i="8" s="1"/>
  <c r="E25" i="8"/>
  <c r="D25" i="8"/>
  <c r="E24" i="8"/>
  <c r="D24" i="8"/>
  <c r="E23" i="8"/>
  <c r="D23" i="8"/>
  <c r="E22" i="8"/>
  <c r="D45" i="8" s="1"/>
  <c r="D22" i="8"/>
  <c r="C45" i="8" s="1"/>
  <c r="E21" i="8"/>
  <c r="D21" i="8"/>
  <c r="E20" i="8"/>
  <c r="D20" i="8"/>
  <c r="E19" i="8"/>
  <c r="D19" i="8"/>
  <c r="E18" i="8"/>
  <c r="D42" i="8" s="1"/>
  <c r="D18" i="8"/>
  <c r="C42" i="8" s="1"/>
  <c r="E17" i="8"/>
  <c r="D17" i="8"/>
  <c r="E16" i="8"/>
  <c r="D16" i="8"/>
  <c r="E15" i="8"/>
  <c r="D40" i="8" s="1"/>
  <c r="D15" i="8"/>
  <c r="C40" i="8" s="1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41" i="8" s="1"/>
  <c r="D6" i="8"/>
  <c r="C41" i="8" s="1"/>
  <c r="E5" i="8"/>
  <c r="D5" i="8"/>
  <c r="E4" i="8"/>
  <c r="D4" i="8"/>
  <c r="E3" i="8"/>
  <c r="D3" i="8"/>
  <c r="E2" i="8"/>
  <c r="D38" i="8" s="1"/>
  <c r="D2" i="8"/>
  <c r="C38" i="8" s="1"/>
  <c r="K21" i="12"/>
  <c r="J21" i="12"/>
  <c r="I21" i="12"/>
  <c r="H21" i="12"/>
  <c r="G21" i="12"/>
  <c r="F21" i="12"/>
  <c r="E21" i="12"/>
  <c r="D21" i="12"/>
  <c r="C21" i="12"/>
  <c r="B21" i="12"/>
  <c r="A21" i="12"/>
  <c r="K20" i="12"/>
  <c r="J20" i="12"/>
  <c r="I20" i="12"/>
  <c r="H20" i="12"/>
  <c r="G20" i="12"/>
  <c r="F20" i="12"/>
  <c r="E20" i="12"/>
  <c r="D20" i="12"/>
  <c r="C20" i="12"/>
  <c r="B20" i="12"/>
  <c r="A20" i="12"/>
  <c r="K19" i="12"/>
  <c r="J19" i="12"/>
  <c r="I19" i="12"/>
  <c r="H19" i="12"/>
  <c r="G19" i="12"/>
  <c r="F19" i="12"/>
  <c r="E19" i="12"/>
  <c r="D19" i="12"/>
  <c r="C19" i="12"/>
  <c r="B19" i="12"/>
  <c r="A19" i="12"/>
  <c r="K18" i="12"/>
  <c r="J18" i="12"/>
  <c r="I18" i="12"/>
  <c r="H18" i="12"/>
  <c r="G18" i="12"/>
  <c r="F18" i="12"/>
  <c r="E18" i="12"/>
  <c r="D18" i="12"/>
  <c r="C18" i="12"/>
  <c r="B18" i="12"/>
  <c r="A18" i="12"/>
  <c r="K17" i="12"/>
  <c r="J17" i="12"/>
  <c r="I17" i="12"/>
  <c r="H17" i="12"/>
  <c r="G17" i="12"/>
  <c r="F17" i="12"/>
  <c r="E17" i="12"/>
  <c r="D17" i="12"/>
  <c r="C17" i="12"/>
  <c r="B17" i="12"/>
  <c r="A17" i="12"/>
  <c r="K16" i="12"/>
  <c r="J16" i="12"/>
  <c r="I16" i="12"/>
  <c r="H16" i="12"/>
  <c r="G16" i="12"/>
  <c r="F16" i="12"/>
  <c r="E16" i="12"/>
  <c r="D16" i="12"/>
  <c r="C16" i="12"/>
  <c r="B16" i="12"/>
  <c r="A16" i="12"/>
  <c r="K15" i="12"/>
  <c r="J15" i="12"/>
  <c r="I15" i="12"/>
  <c r="H15" i="12"/>
  <c r="G15" i="12"/>
  <c r="F15" i="12"/>
  <c r="E15" i="12"/>
  <c r="D15" i="12"/>
  <c r="C15" i="12"/>
  <c r="B15" i="12"/>
  <c r="A15" i="12"/>
  <c r="K14" i="12"/>
  <c r="J14" i="12"/>
  <c r="I14" i="12"/>
  <c r="H14" i="12"/>
  <c r="G14" i="12"/>
  <c r="F14" i="12"/>
  <c r="E14" i="12"/>
  <c r="D14" i="12"/>
  <c r="C14" i="12"/>
  <c r="B14" i="12"/>
  <c r="A14" i="12"/>
  <c r="K13" i="12"/>
  <c r="J13" i="12"/>
  <c r="I13" i="12"/>
  <c r="H13" i="12"/>
  <c r="G13" i="12"/>
  <c r="F13" i="12"/>
  <c r="E13" i="12"/>
  <c r="D13" i="12"/>
  <c r="C13" i="12"/>
  <c r="B13" i="12"/>
  <c r="A13" i="12"/>
  <c r="K12" i="12"/>
  <c r="J12" i="12"/>
  <c r="I12" i="12"/>
  <c r="H12" i="12"/>
  <c r="G12" i="12"/>
  <c r="F12" i="12"/>
  <c r="E12" i="12"/>
  <c r="D12" i="12"/>
  <c r="C12" i="12"/>
  <c r="B12" i="12"/>
  <c r="A12" i="12"/>
  <c r="K11" i="12"/>
  <c r="J11" i="12"/>
  <c r="I11" i="12"/>
  <c r="H11" i="12"/>
  <c r="G11" i="12"/>
  <c r="F11" i="12"/>
  <c r="E11" i="12"/>
  <c r="D11" i="12"/>
  <c r="C11" i="12"/>
  <c r="B11" i="12"/>
  <c r="A11" i="12"/>
  <c r="K10" i="12"/>
  <c r="J10" i="12"/>
  <c r="I10" i="12"/>
  <c r="H10" i="12"/>
  <c r="G10" i="12"/>
  <c r="F10" i="12"/>
  <c r="E10" i="12"/>
  <c r="D10" i="12"/>
  <c r="C10" i="12"/>
  <c r="B10" i="12"/>
  <c r="A10" i="12"/>
  <c r="K9" i="12"/>
  <c r="J9" i="12"/>
  <c r="I9" i="12"/>
  <c r="H9" i="12"/>
  <c r="G9" i="12"/>
  <c r="F9" i="12"/>
  <c r="E9" i="12"/>
  <c r="D9" i="12"/>
  <c r="C9" i="12"/>
  <c r="B9" i="12"/>
  <c r="A9" i="12"/>
  <c r="K8" i="12"/>
  <c r="J8" i="12"/>
  <c r="I8" i="12"/>
  <c r="H8" i="12"/>
  <c r="G8" i="12"/>
  <c r="F8" i="12"/>
  <c r="E8" i="12"/>
  <c r="D8" i="12"/>
  <c r="C8" i="12"/>
  <c r="B8" i="12"/>
  <c r="A8" i="12"/>
  <c r="K7" i="12"/>
  <c r="J7" i="12"/>
  <c r="I7" i="12"/>
  <c r="H7" i="12"/>
  <c r="G7" i="12"/>
  <c r="F7" i="12"/>
  <c r="E7" i="12"/>
  <c r="D7" i="12"/>
  <c r="C7" i="12"/>
  <c r="B7" i="12"/>
  <c r="A7" i="12"/>
  <c r="K6" i="12"/>
  <c r="J6" i="12"/>
  <c r="I6" i="12"/>
  <c r="H6" i="12"/>
  <c r="G6" i="12"/>
  <c r="F6" i="12"/>
  <c r="E6" i="12"/>
  <c r="D6" i="12"/>
  <c r="C6" i="12"/>
  <c r="B6" i="12"/>
  <c r="A6" i="12"/>
  <c r="K5" i="12"/>
  <c r="J5" i="12"/>
  <c r="I5" i="12"/>
  <c r="H5" i="12"/>
  <c r="G5" i="12"/>
  <c r="F5" i="12"/>
  <c r="E5" i="12"/>
  <c r="D5" i="12"/>
  <c r="C5" i="12"/>
  <c r="B5" i="12"/>
  <c r="A5" i="12"/>
  <c r="K4" i="12"/>
  <c r="J4" i="12"/>
  <c r="I4" i="12"/>
  <c r="H4" i="12"/>
  <c r="G4" i="12"/>
  <c r="F4" i="12"/>
  <c r="E4" i="12"/>
  <c r="D4" i="12"/>
  <c r="C4" i="12"/>
  <c r="B4" i="12"/>
  <c r="A4" i="12"/>
  <c r="K3" i="12"/>
  <c r="J3" i="12"/>
  <c r="I3" i="12"/>
  <c r="H3" i="12"/>
  <c r="G3" i="12"/>
  <c r="F3" i="12"/>
  <c r="E3" i="12"/>
  <c r="D3" i="12"/>
  <c r="C3" i="12"/>
  <c r="B3" i="12"/>
  <c r="A3" i="12"/>
  <c r="K2" i="12"/>
  <c r="J2" i="12"/>
  <c r="I2" i="12"/>
  <c r="H2" i="12"/>
  <c r="G2" i="12"/>
  <c r="F2" i="12"/>
  <c r="E2" i="12"/>
  <c r="D2" i="12"/>
  <c r="C2" i="12"/>
  <c r="B2" i="12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D3" i="11"/>
  <c r="C3" i="11"/>
  <c r="D2" i="11"/>
  <c r="C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39D64D-4972-43F8-8AA4-48F7C4F916F6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2E084383-8EE6-41A7-BB38-0029075CD164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04CD540F-3B56-4BB7-B11C-13BFC52CE903}" keepAlive="1" name="Query - Sheet1 (3)" description="Connection to the 'Sheet1 (3)' query in the workbook." type="5" refreshedVersion="0" background="1">
    <dbPr connection="Provider=Microsoft.Mashup.OleDb.1;Data Source=$Workbook$;Location=&quot;Sheet1 (3)&quot;;Extended Properties=&quot;&quot;" command="SELECT * FROM [Sheet1 (3)]"/>
  </connection>
  <connection id="4" xr16:uid="{30F23318-28DE-4E4A-9AB7-BDF81D2F4163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5" xr16:uid="{74E85902-B683-4E63-801A-D97267C40EC1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</connections>
</file>

<file path=xl/sharedStrings.xml><?xml version="1.0" encoding="utf-8"?>
<sst xmlns="http://schemas.openxmlformats.org/spreadsheetml/2006/main" count="2548" uniqueCount="182">
  <si>
    <t>year</t>
  </si>
  <si>
    <t>total</t>
  </si>
  <si>
    <t>home</t>
  </si>
  <si>
    <t>away</t>
  </si>
  <si>
    <t>team_name</t>
  </si>
  <si>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</si>
  <si>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</si>
  <si>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</si>
  <si>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</si>
  <si>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</si>
  <si>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</si>
  <si>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</si>
  <si>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</si>
  <si>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</si>
  <si>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</si>
  <si>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</si>
  <si>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</si>
  <si>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Indianapolis Colts</t>
  </si>
  <si>
    <t>Jacksonville Jaguars</t>
  </si>
  <si>
    <t>Kansas City Chiefs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</si>
  <si>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</si>
  <si>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</si>
  <si>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</si>
  <si>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</si>
  <si>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</si>
  <si>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</si>
  <si>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Oakland Raiders</t>
  </si>
  <si>
    <t>Las Vegas Raiders</t>
  </si>
  <si>
    <t>Philadelphia Eagles</t>
  </si>
  <si>
    <t>Pittsburgh Steelers</t>
  </si>
  <si>
    <t>San Diego Chargers</t>
  </si>
  <si>
    <t>Los Angeles Chargers</t>
  </si>
  <si>
    <t>San Francisco 49ers</t>
  </si>
  <si>
    <t>Seattle Seahawks</t>
  </si>
  <si>
    <t>St. Louis Rams</t>
  </si>
  <si>
    <t>Los Angeles Rams</t>
  </si>
  <si>
    <t>Tampa Bay Buccaneers</t>
  </si>
  <si>
    <t>Tennessee Titans</t>
  </si>
  <si>
    <t>Washington Commanders</t>
  </si>
  <si>
    <t>Houston Texans</t>
  </si>
  <si>
    <t>home_stadium</t>
  </si>
  <si>
    <t>location</t>
  </si>
  <si>
    <t>lat</t>
  </si>
  <si>
    <t>long</t>
  </si>
  <si>
    <t>conference</t>
  </si>
  <si>
    <t>division</t>
  </si>
  <si>
    <t>superbowl_wins</t>
  </si>
  <si>
    <t>year_est</t>
  </si>
  <si>
    <t>Highmark Stadium</t>
  </si>
  <si>
    <t>Orchard Park, New York</t>
  </si>
  <si>
    <t>AFC</t>
  </si>
  <si>
    <t>East</t>
  </si>
  <si>
    <t>Hard Rock Stadium</t>
  </si>
  <si>
    <t>Miami Gardens, Florida</t>
  </si>
  <si>
    <t>Gillete Stadium</t>
  </si>
  <si>
    <t>Foxborough, Massachusetts</t>
  </si>
  <si>
    <t>MetLife Stadium</t>
  </si>
  <si>
    <t>East Rutherford, New Jersey</t>
  </si>
  <si>
    <t>Empower Field at Mile High</t>
  </si>
  <si>
    <t>Denver, Colorado</t>
  </si>
  <si>
    <t>West</t>
  </si>
  <si>
    <t>Arrowhead Stadium</t>
  </si>
  <si>
    <t>Kansas City, Missouri</t>
  </si>
  <si>
    <t>Allegiant Stadium</t>
  </si>
  <si>
    <t>Paradise, Nevada</t>
  </si>
  <si>
    <t>SoFi Stadium</t>
  </si>
  <si>
    <t>Inglewood, California</t>
  </si>
  <si>
    <t>M&amp;T Bank Stadium</t>
  </si>
  <si>
    <t>Baltimore, Maryland</t>
  </si>
  <si>
    <t>North</t>
  </si>
  <si>
    <t>Paycor Stadium</t>
  </si>
  <si>
    <t>Cincinnati, Ohio</t>
  </si>
  <si>
    <t>Cleveland Browns Stadium</t>
  </si>
  <si>
    <t>Cleveland, Ohio</t>
  </si>
  <si>
    <t>Acrisure Stadium</t>
  </si>
  <si>
    <t>Pittsburgh, Pennsylvania</t>
  </si>
  <si>
    <t>NRG Stadium</t>
  </si>
  <si>
    <t>Houston, Texas</t>
  </si>
  <si>
    <t>South</t>
  </si>
  <si>
    <t>Lucas Oil Stadium</t>
  </si>
  <si>
    <t>Indianapolis, Indiana</t>
  </si>
  <si>
    <t>EverBank Stadium</t>
  </si>
  <si>
    <t>Jacksonville, Florida</t>
  </si>
  <si>
    <t>Nissan Stadium</t>
  </si>
  <si>
    <t>Nashville, Tennessee</t>
  </si>
  <si>
    <t>AT&amp;T Stadium</t>
  </si>
  <si>
    <t>Arlington, Texas</t>
  </si>
  <si>
    <t>NFC</t>
  </si>
  <si>
    <t>Lincoln Financial Field</t>
  </si>
  <si>
    <t>Philadelphia, Pennsylvania</t>
  </si>
  <si>
    <t>FedExField</t>
  </si>
  <si>
    <t>Landover, Maryland</t>
  </si>
  <si>
    <t>State Farm Stadium</t>
  </si>
  <si>
    <t>Glendale, Arizona</t>
  </si>
  <si>
    <t>Levi's Stadium</t>
  </si>
  <si>
    <t>Santa Clara, California</t>
  </si>
  <si>
    <t>Lumen Field</t>
  </si>
  <si>
    <t>Seattle, Washington</t>
  </si>
  <si>
    <t>Soldier Field</t>
  </si>
  <si>
    <t>Chicago, Illinois</t>
  </si>
  <si>
    <t>Ford Field</t>
  </si>
  <si>
    <t>Detroit, Michigan</t>
  </si>
  <si>
    <t>Lambeau Field</t>
  </si>
  <si>
    <t>Green Bay, Wisconsin</t>
  </si>
  <si>
    <t>U.S. Bank Stadium</t>
  </si>
  <si>
    <t>Minneapolis, Minnesota</t>
  </si>
  <si>
    <t>Mercedes-Benz Stadium</t>
  </si>
  <si>
    <t>Atlanta, Georgia</t>
  </si>
  <si>
    <t>Bank of America Stadium</t>
  </si>
  <si>
    <t>Charlotte, North Carolina</t>
  </si>
  <si>
    <t>Caesars Superdome</t>
  </si>
  <si>
    <t>New Orleans, Louisiana</t>
  </si>
  <si>
    <t>Raymond James Stadium</t>
  </si>
  <si>
    <t>Tampa, Florida</t>
  </si>
  <si>
    <t>City</t>
  </si>
  <si>
    <t>Los Angeles, California</t>
  </si>
  <si>
    <t>San Francisco, California</t>
  </si>
  <si>
    <t>Washington, District of Columbia</t>
  </si>
  <si>
    <t>Miami, Florida</t>
  </si>
  <si>
    <t>Boston, Massachusetts</t>
  </si>
  <si>
    <t>Las Vegas, Nevada</t>
  </si>
  <si>
    <t>Buffalo, New York</t>
  </si>
  <si>
    <t>New York, New York</t>
  </si>
  <si>
    <t>wins</t>
  </si>
  <si>
    <t>loss</t>
  </si>
  <si>
    <t>points_for</t>
  </si>
  <si>
    <t>points_against</t>
  </si>
  <si>
    <t>simple_rating</t>
  </si>
  <si>
    <t>offensive_ranking</t>
  </si>
  <si>
    <t>defensive_ranking</t>
  </si>
  <si>
    <t>playoffs</t>
  </si>
  <si>
    <t>sb_winner</t>
  </si>
  <si>
    <t>Division</t>
  </si>
  <si>
    <t>Avg Offensive Rating</t>
  </si>
  <si>
    <t>Avg Defensive Rating</t>
  </si>
  <si>
    <t>Team</t>
  </si>
  <si>
    <t>Conference</t>
  </si>
  <si>
    <t>Avg Off Rating</t>
  </si>
  <si>
    <t>Avg Def Rating</t>
  </si>
  <si>
    <t>AFC East</t>
  </si>
  <si>
    <t>AFC North</t>
  </si>
  <si>
    <t>AFC South</t>
  </si>
  <si>
    <t>AFC West</t>
  </si>
  <si>
    <t>NFC East</t>
  </si>
  <si>
    <t>NFC North</t>
  </si>
  <si>
    <t>NFC South</t>
  </si>
  <si>
    <t>NFC West</t>
  </si>
  <si>
    <t>Median Household Income</t>
  </si>
  <si>
    <t>Total Wins</t>
  </si>
  <si>
    <t>Oakland, California</t>
  </si>
  <si>
    <t>Total Losses</t>
  </si>
  <si>
    <t>Year</t>
  </si>
  <si>
    <t>Playoff Appearances</t>
  </si>
  <si>
    <t>Super Bowl Wins</t>
  </si>
  <si>
    <t>State</t>
  </si>
  <si>
    <t>Arizona</t>
  </si>
  <si>
    <t>California</t>
  </si>
  <si>
    <t>Colorado</t>
  </si>
  <si>
    <t>District of Columbia</t>
  </si>
  <si>
    <t>Florida</t>
  </si>
  <si>
    <t>Georgia</t>
  </si>
  <si>
    <t>Illinois</t>
  </si>
  <si>
    <t>Louisiana</t>
  </si>
  <si>
    <t>Maryland</t>
  </si>
  <si>
    <t>Massachusetts</t>
  </si>
  <si>
    <t>Michigan</t>
  </si>
  <si>
    <t>Minnesota</t>
  </si>
  <si>
    <t>Missouri</t>
  </si>
  <si>
    <t>Nevada</t>
  </si>
  <si>
    <t>New Jersey</t>
  </si>
  <si>
    <t>New York</t>
  </si>
  <si>
    <t>North Carolina</t>
  </si>
  <si>
    <t>Ohio</t>
  </si>
  <si>
    <t>Pennsylvania</t>
  </si>
  <si>
    <t>Tennessee</t>
  </si>
  <si>
    <t>Texas</t>
  </si>
  <si>
    <t>Washington</t>
  </si>
  <si>
    <t>Wisconsin</t>
  </si>
  <si>
    <t>Indiana</t>
  </si>
  <si>
    <t>Team Count (Current)</t>
  </si>
  <si>
    <t>legacy_team_name</t>
  </si>
  <si>
    <t>Median Household Income (dollars)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</si>
</sst>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$&quot;#,##0.00"/>
  </numFmts>
  <fonts count="2" x14ac:knownFonts="1">
    <font>
      <sz val="11"/>
      <color theme="1"/>
      <name val="Calibri Light"/>
      <family val="2"/>
      <scheme val="minor"/>
    </font>
    <font>
      <b/>
      <sz val="11"/>
      <color theme="1"/>
      <name val="Calibri Ligh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31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</font>
    </dxf>
    <dxf>
      <numFmt numFmtId="165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ACC0C6"/>
      <color rgb="FF00338D"/>
      <color rgb="FFC60C30"/>
      <color rgb="FFFFA300"/>
      <color rgb="FF125740"/>
      <color rgb="FF9F792C"/>
      <color rgb="FF5A1414"/>
      <color rgb="FF0076B6"/>
      <color rgb="FFFF3C00"/>
      <color rgb="FF004C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Offensive vs. Defensive</a:t>
            </a:r>
            <a:r>
              <a:rPr lang="en-US" b="1" baseline="0"/>
              <a:t> Rating by Division (2000-2019)</a:t>
            </a:r>
            <a:endParaRPr lang="en-US" b="1"/>
          </a:p>
        </c:rich>
      </c:tx>
      <c:layout>
        <c:manualLayout>
          <c:xMode val="edge"/>
          <c:yMode val="edge"/>
          <c:x val="0.30402621564755439"/>
          <c:y val="1.26182965299684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Divisional_Ratings!$C$37</c:f>
              <c:strCache>
                <c:ptCount val="1"/>
                <c:pt idx="0">
                  <c:v>Avg Off Rating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Divisional_Ratings!$A$38:$A$45</c:f>
              <c:strCache>
                <c:ptCount val="8"/>
                <c:pt idx="0">
                  <c:v>AFC East</c:v>
                </c:pt>
                <c:pt idx="1">
                  <c:v>AFC North</c:v>
                </c:pt>
                <c:pt idx="2">
                  <c:v>AFC South</c:v>
                </c:pt>
                <c:pt idx="3">
                  <c:v>AFC West</c:v>
                </c:pt>
                <c:pt idx="4">
                  <c:v>NFC East</c:v>
                </c:pt>
                <c:pt idx="5">
                  <c:v>NFC North</c:v>
                </c:pt>
                <c:pt idx="6">
                  <c:v>NFC South</c:v>
                </c:pt>
                <c:pt idx="7">
                  <c:v>NFC West</c:v>
                </c:pt>
              </c:strCache>
            </c:strRef>
          </c:cat>
          <c:val>
            <c:numRef>
              <c:f>Divisional_Ratings!$C$38:$C$45</c:f>
              <c:numCache>
                <c:formatCode>General</c:formatCode>
                <c:ptCount val="8"/>
                <c:pt idx="0">
                  <c:v>0.1037499999999999</c:v>
                </c:pt>
                <c:pt idx="1">
                  <c:v>-0.54249999999999998</c:v>
                </c:pt>
                <c:pt idx="2">
                  <c:v>-0.31375000000000008</c:v>
                </c:pt>
                <c:pt idx="3">
                  <c:v>0.81499999999999984</c:v>
                </c:pt>
                <c:pt idx="4">
                  <c:v>7.2499999999999898E-2</c:v>
                </c:pt>
                <c:pt idx="5">
                  <c:v>0.28624999999999978</c:v>
                </c:pt>
                <c:pt idx="6">
                  <c:v>0.31625000000000003</c:v>
                </c:pt>
                <c:pt idx="7">
                  <c:v>-0.7687499999999996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C-4B61-9DD4-865EA09E7270}"/>
            </c:ext>
          </c:extLst>
        </c:ser>
        <c:ser>
          <c:idx val="1"/>
          <c:order val="1"/>
          <c:tx>
            <c:strRef>
              <c:f>Divisional_Ratings!$D$37</c:f>
              <c:strCache>
                <c:ptCount val="1"/>
                <c:pt idx="0">
                  <c:v>Avg Def Rating</c:v>
                </c:pt>
              </c:strCache>
            </c:strRef>
          </c:tx>
          <c:spPr>
            <a:solidFill>
              <a:srgbClr val="E26356"/>
            </a:solidFill>
            <a:ln>
              <a:noFill/>
            </a:ln>
            <a:effectLst/>
          </c:spPr>
          <c:invertIfNegative val="0"/>
          <c:cat>
            <c:strRef>
              <c:f>Divisional_Ratings!$A$38:$A$45</c:f>
              <c:strCache>
                <c:ptCount val="8"/>
                <c:pt idx="0">
                  <c:v>AFC East</c:v>
                </c:pt>
                <c:pt idx="1">
                  <c:v>AFC North</c:v>
                </c:pt>
                <c:pt idx="2">
                  <c:v>AFC South</c:v>
                </c:pt>
                <c:pt idx="3">
                  <c:v>AFC West</c:v>
                </c:pt>
                <c:pt idx="4">
                  <c:v>NFC East</c:v>
                </c:pt>
                <c:pt idx="5">
                  <c:v>NFC North</c:v>
                </c:pt>
                <c:pt idx="6">
                  <c:v>NFC South</c:v>
                </c:pt>
                <c:pt idx="7">
                  <c:v>NFC West</c:v>
                </c:pt>
              </c:strCache>
            </c:strRef>
          </c:cat>
          <c:val>
            <c:numRef>
              <c:f>Divisional_Ratings!$D$38:$D$45</c:f>
              <c:numCache>
                <c:formatCode>General</c:formatCode>
                <c:ptCount val="8"/>
                <c:pt idx="0">
                  <c:v>0.95499999999999996</c:v>
                </c:pt>
                <c:pt idx="1">
                  <c:v>1.1825000000000001</c:v>
                </c:pt>
                <c:pt idx="2">
                  <c:v>-0.5573611111111112</c:v>
                </c:pt>
                <c:pt idx="3">
                  <c:v>-0.25875000000000004</c:v>
                </c:pt>
                <c:pt idx="4">
                  <c:v>6.5000000000000016E-2</c:v>
                </c:pt>
                <c:pt idx="5">
                  <c:v>-0.21624999999999994</c:v>
                </c:pt>
                <c:pt idx="6">
                  <c:v>-0.35499999999999976</c:v>
                </c:pt>
                <c:pt idx="7">
                  <c:v>-0.84125000000000005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C-4B61-9DD4-865EA09E7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4926992"/>
        <c:axId val="314913552"/>
      </c:barChart>
      <c:catAx>
        <c:axId val="31492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913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149135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92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Median</a:t>
            </a:r>
            <a:r>
              <a:rPr lang="en-US" b="1" baseline="0"/>
              <a:t> Household Income vs. Total Wins by NFL Team (2000-2019)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Income_vs_Wins!$C$1</c:f>
              <c:strCache>
                <c:ptCount val="1"/>
                <c:pt idx="0">
                  <c:v>Total Wins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CAA677E-69C8-456E-B6EB-A4F6D57A20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517-4CEF-9C1B-C9C5AA117BD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8A27770-6C6E-40D2-87B7-AD440E39B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517-4CEF-9C1B-C9C5AA117BD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C8243EA-20E4-4266-9B05-A6859458E7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517-4CEF-9C1B-C9C5AA117BD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E999F9E-6A3F-4400-B1F3-CB538D183D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517-4CEF-9C1B-C9C5AA117BD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6692FBF-7849-42E6-A1D6-AB71FA7653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517-4CEF-9C1B-C9C5AA117BD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517-4CEF-9C1B-C9C5AA117BD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83EE36A-BB39-4635-A926-C34D67567D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517-4CEF-9C1B-C9C5AA117BD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517-4CEF-9C1B-C9C5AA117BD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508D830-3B33-46EF-B795-629B402080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517-4CEF-9C1B-C9C5AA117BD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811C0CA-6ADC-4A71-A699-EE1132EE2F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517-4CEF-9C1B-C9C5AA117BD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3D075C6-E9A0-4832-8845-986574AFDE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517-4CEF-9C1B-C9C5AA117BD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424219D-081C-4B13-87B6-2877496242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517-4CEF-9C1B-C9C5AA117BD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D05F03B-BD71-42FA-AE92-0783A9A8ED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517-4CEF-9C1B-C9C5AA117BD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AB79F2B-7E2E-4F58-83E5-A4F3C86460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517-4CEF-9C1B-C9C5AA117BD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517-4CEF-9C1B-C9C5AA117BD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517-4CEF-9C1B-C9C5AA117BD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517-4CEF-9C1B-C9C5AA117BD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D3161AA-22E6-487A-AADB-6A4E1357A0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517-4CEF-9C1B-C9C5AA117BD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517-4CEF-9C1B-C9C5AA117BD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6D41CA6-7180-44AA-A9D2-54EF320EEE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517-4CEF-9C1B-C9C5AA117BD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517-4CEF-9C1B-C9C5AA117BD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D0F8B30-6761-4238-BAAF-CEC1A93043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517-4CEF-9C1B-C9C5AA117BD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DA73207-914D-47F0-8CE9-5D7964A3F6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517-4CEF-9C1B-C9C5AA117BD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01B0D18-1B2C-4E3D-A78D-0C76DC654B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517-4CEF-9C1B-C9C5AA117BD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517-4CEF-9C1B-C9C5AA117BDF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717F08B-11C4-405A-A387-8A76056F7D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517-4CEF-9C1B-C9C5AA117BD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517-4CEF-9C1B-C9C5AA117BD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517-4CEF-9C1B-C9C5AA117BD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517-4CEF-9C1B-C9C5AA117BD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2673C203-56E9-47B2-93AF-C1C6EC59C2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517-4CEF-9C1B-C9C5AA117BDF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998532FE-B4B9-4CC2-BE1E-66705647ED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517-4CEF-9C1B-C9C5AA117BDF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2A8425FD-D1E1-45FF-B651-0E990B52ED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C517-4CEF-9C1B-C9C5AA117B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166914967750895E-4"/>
                  <c:y val="-1.01502185229303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Income_vs_Wins!$B$2:$B$33</c:f>
              <c:numCache>
                <c:formatCode>"$"#,##0.00</c:formatCode>
                <c:ptCount val="32"/>
                <c:pt idx="0">
                  <c:v>61973.5</c:v>
                </c:pt>
                <c:pt idx="1">
                  <c:v>37569</c:v>
                </c:pt>
                <c:pt idx="2">
                  <c:v>65665</c:v>
                </c:pt>
                <c:pt idx="3">
                  <c:v>57782</c:v>
                </c:pt>
                <c:pt idx="4">
                  <c:v>60098</c:v>
                </c:pt>
                <c:pt idx="5">
                  <c:v>50136</c:v>
                </c:pt>
                <c:pt idx="6">
                  <c:v>54104.666666666664</c:v>
                </c:pt>
                <c:pt idx="7">
                  <c:v>54501</c:v>
                </c:pt>
                <c:pt idx="8">
                  <c:v>46641</c:v>
                </c:pt>
                <c:pt idx="9">
                  <c:v>36429</c:v>
                </c:pt>
                <c:pt idx="10">
                  <c:v>27854</c:v>
                </c:pt>
                <c:pt idx="11">
                  <c:v>44092</c:v>
                </c:pt>
                <c:pt idx="12">
                  <c:v>49399</c:v>
                </c:pt>
                <c:pt idx="13">
                  <c:v>44709</c:v>
                </c:pt>
                <c:pt idx="14">
                  <c:v>50555</c:v>
                </c:pt>
                <c:pt idx="15">
                  <c:v>52858</c:v>
                </c:pt>
                <c:pt idx="16">
                  <c:v>55562</c:v>
                </c:pt>
                <c:pt idx="17">
                  <c:v>77400</c:v>
                </c:pt>
                <c:pt idx="18">
                  <c:v>40649</c:v>
                </c:pt>
                <c:pt idx="19">
                  <c:v>65671.5</c:v>
                </c:pt>
                <c:pt idx="20">
                  <c:v>49383</c:v>
                </c:pt>
                <c:pt idx="21">
                  <c:v>46389</c:v>
                </c:pt>
                <c:pt idx="22">
                  <c:v>102437</c:v>
                </c:pt>
                <c:pt idx="23">
                  <c:v>79565</c:v>
                </c:pt>
                <c:pt idx="24">
                  <c:v>52497</c:v>
                </c:pt>
                <c:pt idx="25">
                  <c:v>27838</c:v>
                </c:pt>
                <c:pt idx="26">
                  <c:v>45473</c:v>
                </c:pt>
                <c:pt idx="27">
                  <c:v>55720</c:v>
                </c:pt>
                <c:pt idx="28">
                  <c:v>51701</c:v>
                </c:pt>
                <c:pt idx="29">
                  <c:v>58202</c:v>
                </c:pt>
                <c:pt idx="30">
                  <c:v>38721</c:v>
                </c:pt>
                <c:pt idx="31">
                  <c:v>48245</c:v>
                </c:pt>
              </c:numCache>
            </c:numRef>
          </c:xVal>
          <c:yVal>
            <c:numRef>
              <c:f>Income_vs_Wins!$C$2:$C$33</c:f>
              <c:numCache>
                <c:formatCode>General</c:formatCode>
                <c:ptCount val="32"/>
                <c:pt idx="0">
                  <c:v>137</c:v>
                </c:pt>
                <c:pt idx="1">
                  <c:v>149</c:v>
                </c:pt>
                <c:pt idx="2">
                  <c:v>237</c:v>
                </c:pt>
                <c:pt idx="3">
                  <c:v>148</c:v>
                </c:pt>
                <c:pt idx="4">
                  <c:v>182</c:v>
                </c:pt>
                <c:pt idx="5">
                  <c:v>166</c:v>
                </c:pt>
                <c:pt idx="6">
                  <c:v>125</c:v>
                </c:pt>
                <c:pt idx="7">
                  <c:v>162</c:v>
                </c:pt>
                <c:pt idx="8">
                  <c:v>190</c:v>
                </c:pt>
                <c:pt idx="9">
                  <c:v>145</c:v>
                </c:pt>
                <c:pt idx="10">
                  <c:v>99</c:v>
                </c:pt>
                <c:pt idx="11">
                  <c:v>205</c:v>
                </c:pt>
                <c:pt idx="12">
                  <c:v>131</c:v>
                </c:pt>
                <c:pt idx="13">
                  <c:v>197</c:v>
                </c:pt>
                <c:pt idx="14">
                  <c:v>127</c:v>
                </c:pt>
                <c:pt idx="15">
                  <c:v>160</c:v>
                </c:pt>
                <c:pt idx="16">
                  <c:v>168</c:v>
                </c:pt>
                <c:pt idx="17">
                  <c:v>158</c:v>
                </c:pt>
                <c:pt idx="18">
                  <c:v>190</c:v>
                </c:pt>
                <c:pt idx="19">
                  <c:v>132</c:v>
                </c:pt>
                <c:pt idx="20">
                  <c:v>137</c:v>
                </c:pt>
                <c:pt idx="21">
                  <c:v>144</c:v>
                </c:pt>
                <c:pt idx="22">
                  <c:v>148</c:v>
                </c:pt>
                <c:pt idx="23">
                  <c:v>182</c:v>
                </c:pt>
                <c:pt idx="24">
                  <c:v>157</c:v>
                </c:pt>
                <c:pt idx="25">
                  <c:v>114</c:v>
                </c:pt>
                <c:pt idx="26">
                  <c:v>197</c:v>
                </c:pt>
                <c:pt idx="27">
                  <c:v>165</c:v>
                </c:pt>
                <c:pt idx="28">
                  <c:v>164</c:v>
                </c:pt>
                <c:pt idx="29">
                  <c:v>157</c:v>
                </c:pt>
                <c:pt idx="30">
                  <c:v>183</c:v>
                </c:pt>
                <c:pt idx="31">
                  <c:v>138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Income_vs_Wins!$A$2:$A$33</c15:f>
                <c15:dlblRangeCache>
                  <c:ptCount val="32"/>
                  <c:pt idx="0">
                    <c:v>Buffalo Bills</c:v>
                  </c:pt>
                  <c:pt idx="1">
                    <c:v>Miami Dolphins</c:v>
                  </c:pt>
                  <c:pt idx="2">
                    <c:v>New England Patriots</c:v>
                  </c:pt>
                  <c:pt idx="3">
                    <c:v>New York Jets</c:v>
                  </c:pt>
                  <c:pt idx="4">
                    <c:v>Denver Broncos</c:v>
                  </c:pt>
                  <c:pt idx="5">
                    <c:v>Kansas City Chiefs</c:v>
                  </c:pt>
                  <c:pt idx="6">
                    <c:v>Las Vegas Raiders</c:v>
                  </c:pt>
                  <c:pt idx="7">
                    <c:v>Los Angeles Chargers</c:v>
                  </c:pt>
                  <c:pt idx="8">
                    <c:v>Baltimore Ravens</c:v>
                  </c:pt>
                  <c:pt idx="9">
                    <c:v>Cincinnati Bengals</c:v>
                  </c:pt>
                  <c:pt idx="10">
                    <c:v>Cleveland Browns</c:v>
                  </c:pt>
                  <c:pt idx="11">
                    <c:v>Pittsburgh Steelers</c:v>
                  </c:pt>
                  <c:pt idx="12">
                    <c:v>Houston Texans</c:v>
                  </c:pt>
                  <c:pt idx="13">
                    <c:v>Indianapolis Colts</c:v>
                  </c:pt>
                  <c:pt idx="14">
                    <c:v>Jacksonville Jaguars</c:v>
                  </c:pt>
                  <c:pt idx="15">
                    <c:v>Tennessee Titans</c:v>
                  </c:pt>
                  <c:pt idx="16">
                    <c:v>Dallas Cowboys</c:v>
                  </c:pt>
                  <c:pt idx="17">
                    <c:v>New York Giants</c:v>
                  </c:pt>
                  <c:pt idx="18">
                    <c:v>Philadelphia Eagles</c:v>
                  </c:pt>
                  <c:pt idx="19">
                    <c:v>Washington Commanders</c:v>
                  </c:pt>
                  <c:pt idx="20">
                    <c:v>Arizona Cardinals</c:v>
                  </c:pt>
                  <c:pt idx="21">
                    <c:v>Los Angeles Rams</c:v>
                  </c:pt>
                  <c:pt idx="22">
                    <c:v>San Francisco 49ers</c:v>
                  </c:pt>
                  <c:pt idx="23">
                    <c:v>Seattle Seahawks</c:v>
                  </c:pt>
                  <c:pt idx="24">
                    <c:v>Chicago Bears</c:v>
                  </c:pt>
                  <c:pt idx="25">
                    <c:v>Detroit Lions</c:v>
                  </c:pt>
                  <c:pt idx="26">
                    <c:v>Green Bay Packers</c:v>
                  </c:pt>
                  <c:pt idx="27">
                    <c:v>Minnesota Vikings</c:v>
                  </c:pt>
                  <c:pt idx="28">
                    <c:v>Atlanta Falcons</c:v>
                  </c:pt>
                  <c:pt idx="29">
                    <c:v>Carolina Panthers</c:v>
                  </c:pt>
                  <c:pt idx="30">
                    <c:v>New Orleans Saints</c:v>
                  </c:pt>
                  <c:pt idx="31">
                    <c:v>Tampa Bay Buccaneers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517-4CEF-9C1B-C9C5AA117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590736"/>
        <c:axId val="2120584976"/>
      </c:scatterChart>
      <c:valAx>
        <c:axId val="212059073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</a:t>
                </a:r>
                <a:r>
                  <a:rPr lang="en-US" baseline="0"/>
                  <a:t> Household Income (dollars)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584976"/>
        <c:crosses val="autoZero"/>
        <c:crossBetween val="midCat"/>
      </c:valAx>
      <c:valAx>
        <c:axId val="212058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Wins (2000-2019)</a:t>
                </a:r>
              </a:p>
            </c:rich>
          </c:tx>
          <c:layout>
            <c:manualLayout>
              <c:xMode val="edge"/>
              <c:yMode val="edge"/>
              <c:x val="7.6932320683898046E-3"/>
              <c:y val="0.407368764061706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59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Wins and Losses by NFL Team by Conference (2000-2019)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Team_Win_Totals!$C$1</c:f>
              <c:strCache>
                <c:ptCount val="1"/>
                <c:pt idx="0">
                  <c:v>Total Wins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Team_Win_Totals!$A$2:$A$34</c:f>
              <c:strCache>
                <c:ptCount val="33"/>
                <c:pt idx="0">
                  <c:v>New England Patriots</c:v>
                </c:pt>
                <c:pt idx="1">
                  <c:v>Pittsburgh Steelers</c:v>
                </c:pt>
                <c:pt idx="2">
                  <c:v>Indianapolis Colts</c:v>
                </c:pt>
                <c:pt idx="3">
                  <c:v>Baltimore Ravens</c:v>
                </c:pt>
                <c:pt idx="4">
                  <c:v>Denver Broncos</c:v>
                </c:pt>
                <c:pt idx="5">
                  <c:v>Kansas City Chiefs</c:v>
                </c:pt>
                <c:pt idx="6">
                  <c:v>Los Angeles Chargers</c:v>
                </c:pt>
                <c:pt idx="7">
                  <c:v>Tennessee Titans</c:v>
                </c:pt>
                <c:pt idx="8">
                  <c:v>Miami Dolphins</c:v>
                </c:pt>
                <c:pt idx="9">
                  <c:v>New York Jets</c:v>
                </c:pt>
                <c:pt idx="10">
                  <c:v>Cincinnati Bengals</c:v>
                </c:pt>
                <c:pt idx="11">
                  <c:v>Buffalo Bills</c:v>
                </c:pt>
                <c:pt idx="12">
                  <c:v>Houston Texans</c:v>
                </c:pt>
                <c:pt idx="13">
                  <c:v>Jacksonville Jaguars</c:v>
                </c:pt>
                <c:pt idx="14">
                  <c:v>Las Vegas Raiders</c:v>
                </c:pt>
                <c:pt idx="15">
                  <c:v>Cleveland Browns</c:v>
                </c:pt>
                <c:pt idx="17">
                  <c:v>Green Bay Packers</c:v>
                </c:pt>
                <c:pt idx="18">
                  <c:v>Philadelphia Eagles</c:v>
                </c:pt>
                <c:pt idx="19">
                  <c:v>New Orleans Saints</c:v>
                </c:pt>
                <c:pt idx="20">
                  <c:v>Seattle Seahawks</c:v>
                </c:pt>
                <c:pt idx="21">
                  <c:v>Dallas Cowboys</c:v>
                </c:pt>
                <c:pt idx="22">
                  <c:v>Minnesota Vikings</c:v>
                </c:pt>
                <c:pt idx="23">
                  <c:v>Atlanta Falcons</c:v>
                </c:pt>
                <c:pt idx="24">
                  <c:v>New York Giants</c:v>
                </c:pt>
                <c:pt idx="25">
                  <c:v>Chicago Bears</c:v>
                </c:pt>
                <c:pt idx="26">
                  <c:v>Carolina Panthers</c:v>
                </c:pt>
                <c:pt idx="27">
                  <c:v>San Francisco 49ers</c:v>
                </c:pt>
                <c:pt idx="28">
                  <c:v>Los Angeles Rams</c:v>
                </c:pt>
                <c:pt idx="29">
                  <c:v>Tampa Bay Buccaneers</c:v>
                </c:pt>
                <c:pt idx="30">
                  <c:v>Arizona Cardinals</c:v>
                </c:pt>
                <c:pt idx="31">
                  <c:v>Washington Commanders</c:v>
                </c:pt>
                <c:pt idx="32">
                  <c:v>Detroit Lions</c:v>
                </c:pt>
              </c:strCache>
            </c:strRef>
          </c:cat>
          <c:val>
            <c:numRef>
              <c:f>Team_Win_Totals!$C$2:$C$34</c:f>
              <c:numCache>
                <c:formatCode>General</c:formatCode>
                <c:ptCount val="33"/>
                <c:pt idx="0">
                  <c:v>237</c:v>
                </c:pt>
                <c:pt idx="1">
                  <c:v>205</c:v>
                </c:pt>
                <c:pt idx="2">
                  <c:v>197</c:v>
                </c:pt>
                <c:pt idx="3">
                  <c:v>190</c:v>
                </c:pt>
                <c:pt idx="4">
                  <c:v>182</c:v>
                </c:pt>
                <c:pt idx="5">
                  <c:v>166</c:v>
                </c:pt>
                <c:pt idx="6">
                  <c:v>162</c:v>
                </c:pt>
                <c:pt idx="7">
                  <c:v>160</c:v>
                </c:pt>
                <c:pt idx="8">
                  <c:v>149</c:v>
                </c:pt>
                <c:pt idx="9">
                  <c:v>148</c:v>
                </c:pt>
                <c:pt idx="10">
                  <c:v>145</c:v>
                </c:pt>
                <c:pt idx="11">
                  <c:v>137</c:v>
                </c:pt>
                <c:pt idx="12">
                  <c:v>131</c:v>
                </c:pt>
                <c:pt idx="13">
                  <c:v>127</c:v>
                </c:pt>
                <c:pt idx="14">
                  <c:v>125</c:v>
                </c:pt>
                <c:pt idx="15">
                  <c:v>99</c:v>
                </c:pt>
                <c:pt idx="16">
                  <c:v>0</c:v>
                </c:pt>
                <c:pt idx="17">
                  <c:v>197</c:v>
                </c:pt>
                <c:pt idx="18">
                  <c:v>190</c:v>
                </c:pt>
                <c:pt idx="19">
                  <c:v>183</c:v>
                </c:pt>
                <c:pt idx="20">
                  <c:v>182</c:v>
                </c:pt>
                <c:pt idx="21">
                  <c:v>168</c:v>
                </c:pt>
                <c:pt idx="22">
                  <c:v>165</c:v>
                </c:pt>
                <c:pt idx="23">
                  <c:v>164</c:v>
                </c:pt>
                <c:pt idx="24">
                  <c:v>158</c:v>
                </c:pt>
                <c:pt idx="25">
                  <c:v>157</c:v>
                </c:pt>
                <c:pt idx="26">
                  <c:v>157</c:v>
                </c:pt>
                <c:pt idx="27">
                  <c:v>148</c:v>
                </c:pt>
                <c:pt idx="28">
                  <c:v>144</c:v>
                </c:pt>
                <c:pt idx="29">
                  <c:v>138</c:v>
                </c:pt>
                <c:pt idx="30">
                  <c:v>137</c:v>
                </c:pt>
                <c:pt idx="31">
                  <c:v>132</c:v>
                </c:pt>
                <c:pt idx="3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7-4D01-8A8A-749253D38603}"/>
            </c:ext>
          </c:extLst>
        </c:ser>
        <c:ser>
          <c:idx val="1"/>
          <c:order val="1"/>
          <c:tx>
            <c:strRef>
              <c:f>Team_Win_Totals!$D$1</c:f>
              <c:strCache>
                <c:ptCount val="1"/>
                <c:pt idx="0">
                  <c:v>Total Losses</c:v>
                </c:pt>
              </c:strCache>
            </c:strRef>
          </c:tx>
          <c:spPr>
            <a:solidFill>
              <a:srgbClr val="E26356"/>
            </a:solidFill>
            <a:ln>
              <a:noFill/>
            </a:ln>
            <a:effectLst/>
          </c:spPr>
          <c:invertIfNegative val="0"/>
          <c:cat>
            <c:strRef>
              <c:f>Team_Win_Totals!$A$2:$A$34</c:f>
              <c:strCache>
                <c:ptCount val="33"/>
                <c:pt idx="0">
                  <c:v>New England Patriots</c:v>
                </c:pt>
                <c:pt idx="1">
                  <c:v>Pittsburgh Steelers</c:v>
                </c:pt>
                <c:pt idx="2">
                  <c:v>Indianapolis Colts</c:v>
                </c:pt>
                <c:pt idx="3">
                  <c:v>Baltimore Ravens</c:v>
                </c:pt>
                <c:pt idx="4">
                  <c:v>Denver Broncos</c:v>
                </c:pt>
                <c:pt idx="5">
                  <c:v>Kansas City Chiefs</c:v>
                </c:pt>
                <c:pt idx="6">
                  <c:v>Los Angeles Chargers</c:v>
                </c:pt>
                <c:pt idx="7">
                  <c:v>Tennessee Titans</c:v>
                </c:pt>
                <c:pt idx="8">
                  <c:v>Miami Dolphins</c:v>
                </c:pt>
                <c:pt idx="9">
                  <c:v>New York Jets</c:v>
                </c:pt>
                <c:pt idx="10">
                  <c:v>Cincinnati Bengals</c:v>
                </c:pt>
                <c:pt idx="11">
                  <c:v>Buffalo Bills</c:v>
                </c:pt>
                <c:pt idx="12">
                  <c:v>Houston Texans</c:v>
                </c:pt>
                <c:pt idx="13">
                  <c:v>Jacksonville Jaguars</c:v>
                </c:pt>
                <c:pt idx="14">
                  <c:v>Las Vegas Raiders</c:v>
                </c:pt>
                <c:pt idx="15">
                  <c:v>Cleveland Browns</c:v>
                </c:pt>
                <c:pt idx="17">
                  <c:v>Green Bay Packers</c:v>
                </c:pt>
                <c:pt idx="18">
                  <c:v>Philadelphia Eagles</c:v>
                </c:pt>
                <c:pt idx="19">
                  <c:v>New Orleans Saints</c:v>
                </c:pt>
                <c:pt idx="20">
                  <c:v>Seattle Seahawks</c:v>
                </c:pt>
                <c:pt idx="21">
                  <c:v>Dallas Cowboys</c:v>
                </c:pt>
                <c:pt idx="22">
                  <c:v>Minnesota Vikings</c:v>
                </c:pt>
                <c:pt idx="23">
                  <c:v>Atlanta Falcons</c:v>
                </c:pt>
                <c:pt idx="24">
                  <c:v>New York Giants</c:v>
                </c:pt>
                <c:pt idx="25">
                  <c:v>Chicago Bears</c:v>
                </c:pt>
                <c:pt idx="26">
                  <c:v>Carolina Panthers</c:v>
                </c:pt>
                <c:pt idx="27">
                  <c:v>San Francisco 49ers</c:v>
                </c:pt>
                <c:pt idx="28">
                  <c:v>Los Angeles Rams</c:v>
                </c:pt>
                <c:pt idx="29">
                  <c:v>Tampa Bay Buccaneers</c:v>
                </c:pt>
                <c:pt idx="30">
                  <c:v>Arizona Cardinals</c:v>
                </c:pt>
                <c:pt idx="31">
                  <c:v>Washington Commanders</c:v>
                </c:pt>
                <c:pt idx="32">
                  <c:v>Detroit Lions</c:v>
                </c:pt>
              </c:strCache>
            </c:strRef>
          </c:cat>
          <c:val>
            <c:numRef>
              <c:f>Team_Win_Totals!$D$2:$D$34</c:f>
              <c:numCache>
                <c:formatCode>General</c:formatCode>
                <c:ptCount val="33"/>
                <c:pt idx="0">
                  <c:v>83</c:v>
                </c:pt>
                <c:pt idx="1">
                  <c:v>113</c:v>
                </c:pt>
                <c:pt idx="2">
                  <c:v>123</c:v>
                </c:pt>
                <c:pt idx="3">
                  <c:v>130</c:v>
                </c:pt>
                <c:pt idx="4">
                  <c:v>138</c:v>
                </c:pt>
                <c:pt idx="5">
                  <c:v>154</c:v>
                </c:pt>
                <c:pt idx="6">
                  <c:v>158</c:v>
                </c:pt>
                <c:pt idx="7">
                  <c:v>160</c:v>
                </c:pt>
                <c:pt idx="8">
                  <c:v>171</c:v>
                </c:pt>
                <c:pt idx="9">
                  <c:v>172</c:v>
                </c:pt>
                <c:pt idx="10">
                  <c:v>172</c:v>
                </c:pt>
                <c:pt idx="11">
                  <c:v>183</c:v>
                </c:pt>
                <c:pt idx="12">
                  <c:v>157</c:v>
                </c:pt>
                <c:pt idx="13">
                  <c:v>193</c:v>
                </c:pt>
                <c:pt idx="14">
                  <c:v>195</c:v>
                </c:pt>
                <c:pt idx="15">
                  <c:v>220</c:v>
                </c:pt>
                <c:pt idx="16">
                  <c:v>0</c:v>
                </c:pt>
                <c:pt idx="17">
                  <c:v>121</c:v>
                </c:pt>
                <c:pt idx="18">
                  <c:v>129</c:v>
                </c:pt>
                <c:pt idx="19">
                  <c:v>137</c:v>
                </c:pt>
                <c:pt idx="20">
                  <c:v>137</c:v>
                </c:pt>
                <c:pt idx="21">
                  <c:v>152</c:v>
                </c:pt>
                <c:pt idx="22">
                  <c:v>153</c:v>
                </c:pt>
                <c:pt idx="23">
                  <c:v>155</c:v>
                </c:pt>
                <c:pt idx="24">
                  <c:v>162</c:v>
                </c:pt>
                <c:pt idx="25">
                  <c:v>163</c:v>
                </c:pt>
                <c:pt idx="26">
                  <c:v>162</c:v>
                </c:pt>
                <c:pt idx="27">
                  <c:v>171</c:v>
                </c:pt>
                <c:pt idx="28">
                  <c:v>175</c:v>
                </c:pt>
                <c:pt idx="29">
                  <c:v>182</c:v>
                </c:pt>
                <c:pt idx="30">
                  <c:v>181</c:v>
                </c:pt>
                <c:pt idx="31">
                  <c:v>187</c:v>
                </c:pt>
                <c:pt idx="32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7-4D01-8A8A-749253D38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120618096"/>
        <c:axId val="2120616656"/>
      </c:barChart>
      <c:catAx>
        <c:axId val="21206180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16656"/>
        <c:crosses val="autoZero"/>
        <c:auto val="1"/>
        <c:lblAlgn val="ctr"/>
        <c:lblOffset val="100"/>
        <c:noMultiLvlLbl val="0"/>
      </c:catAx>
      <c:valAx>
        <c:axId val="2120616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1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NFL Team Performance Rating Over</a:t>
            </a:r>
            <a:r>
              <a:rPr lang="en-US" b="1" baseline="0"/>
              <a:t> Time (2000-2019)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Performance_Rating_Trends!$B$1</c:f>
              <c:strCache>
                <c:ptCount val="1"/>
                <c:pt idx="0">
                  <c:v>New England Patriots</c:v>
                </c:pt>
              </c:strCache>
            </c:strRef>
          </c:tx>
          <c:spPr>
            <a:ln w="28575" cap="rnd">
              <a:solidFill>
                <a:srgbClr val="C60C30"/>
              </a:solidFill>
              <a:round/>
            </a:ln>
            <a:effectLst/>
          </c:spPr>
          <c:marker>
            <c:symbol val="none"/>
          </c:marker>
          <c:cat>
            <c:numRef>
              <c:f>Performance_Rating_Trends!$A$2:$A$21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Performance_Rating_Trends!$B$2:$B$21</c:f>
              <c:numCache>
                <c:formatCode>General</c:formatCode>
                <c:ptCount val="20"/>
                <c:pt idx="0">
                  <c:v>-2.5</c:v>
                </c:pt>
                <c:pt idx="1">
                  <c:v>4.3</c:v>
                </c:pt>
                <c:pt idx="2">
                  <c:v>4</c:v>
                </c:pt>
                <c:pt idx="3">
                  <c:v>6.9</c:v>
                </c:pt>
                <c:pt idx="4">
                  <c:v>12.8</c:v>
                </c:pt>
                <c:pt idx="5">
                  <c:v>3.1</c:v>
                </c:pt>
                <c:pt idx="6">
                  <c:v>10.199999999999999</c:v>
                </c:pt>
                <c:pt idx="7">
                  <c:v>20.100000000000001</c:v>
                </c:pt>
                <c:pt idx="8">
                  <c:v>3.9</c:v>
                </c:pt>
                <c:pt idx="9">
                  <c:v>11.2</c:v>
                </c:pt>
                <c:pt idx="10">
                  <c:v>15.4</c:v>
                </c:pt>
                <c:pt idx="11">
                  <c:v>9.3000000000000007</c:v>
                </c:pt>
                <c:pt idx="12">
                  <c:v>12.8</c:v>
                </c:pt>
                <c:pt idx="13">
                  <c:v>5.9</c:v>
                </c:pt>
                <c:pt idx="14">
                  <c:v>10.9</c:v>
                </c:pt>
                <c:pt idx="15">
                  <c:v>7</c:v>
                </c:pt>
                <c:pt idx="16">
                  <c:v>9.3000000000000007</c:v>
                </c:pt>
                <c:pt idx="17">
                  <c:v>8.9</c:v>
                </c:pt>
                <c:pt idx="18">
                  <c:v>5.2</c:v>
                </c:pt>
                <c:pt idx="19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7FA-48BF-9ABD-7222F4C9A67D}"/>
            </c:ext>
          </c:extLst>
        </c:ser>
        <c:ser>
          <c:idx val="2"/>
          <c:order val="1"/>
          <c:tx>
            <c:strRef>
              <c:f>Performance_Rating_Trends!$C$1</c:f>
              <c:strCache>
                <c:ptCount val="1"/>
                <c:pt idx="0">
                  <c:v>Pittsburgh Steelers</c:v>
                </c:pt>
              </c:strCache>
            </c:strRef>
          </c:tx>
          <c:spPr>
            <a:ln w="28575" cap="rnd">
              <a:solidFill>
                <a:srgbClr val="FFB612"/>
              </a:solidFill>
              <a:round/>
            </a:ln>
            <a:effectLst/>
          </c:spPr>
          <c:marker>
            <c:symbol val="none"/>
          </c:marker>
          <c:cat>
            <c:numRef>
              <c:f>Performance_Rating_Trends!$A$2:$A$21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Performance_Rating_Trends!$C$2:$C$21</c:f>
              <c:numCache>
                <c:formatCode>General</c:formatCode>
                <c:ptCount val="20"/>
                <c:pt idx="0">
                  <c:v>3.9</c:v>
                </c:pt>
                <c:pt idx="1">
                  <c:v>7.4</c:v>
                </c:pt>
                <c:pt idx="2">
                  <c:v>2.7</c:v>
                </c:pt>
                <c:pt idx="3">
                  <c:v>-1.1000000000000001</c:v>
                </c:pt>
                <c:pt idx="4">
                  <c:v>9</c:v>
                </c:pt>
                <c:pt idx="5">
                  <c:v>7.8</c:v>
                </c:pt>
                <c:pt idx="6">
                  <c:v>3.4</c:v>
                </c:pt>
                <c:pt idx="7">
                  <c:v>5.2</c:v>
                </c:pt>
                <c:pt idx="8">
                  <c:v>9.8000000000000007</c:v>
                </c:pt>
                <c:pt idx="9">
                  <c:v>1.7</c:v>
                </c:pt>
                <c:pt idx="10">
                  <c:v>10.199999999999999</c:v>
                </c:pt>
                <c:pt idx="11">
                  <c:v>5.3</c:v>
                </c:pt>
                <c:pt idx="12">
                  <c:v>-0.7</c:v>
                </c:pt>
                <c:pt idx="13">
                  <c:v>-2</c:v>
                </c:pt>
                <c:pt idx="14">
                  <c:v>2.2000000000000002</c:v>
                </c:pt>
                <c:pt idx="15">
                  <c:v>8.6999999999999993</c:v>
                </c:pt>
                <c:pt idx="16">
                  <c:v>4.7</c:v>
                </c:pt>
                <c:pt idx="17">
                  <c:v>5</c:v>
                </c:pt>
                <c:pt idx="18">
                  <c:v>5.6</c:v>
                </c:pt>
                <c:pt idx="19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7FA-48BF-9ABD-7222F4C9A67D}"/>
            </c:ext>
          </c:extLst>
        </c:ser>
        <c:ser>
          <c:idx val="3"/>
          <c:order val="2"/>
          <c:tx>
            <c:strRef>
              <c:f>Performance_Rating_Trends!$D$1</c:f>
              <c:strCache>
                <c:ptCount val="1"/>
                <c:pt idx="0">
                  <c:v>Green Bay Packers</c:v>
                </c:pt>
              </c:strCache>
            </c:strRef>
          </c:tx>
          <c:spPr>
            <a:ln w="28575" cap="rnd">
              <a:solidFill>
                <a:srgbClr val="203731"/>
              </a:solidFill>
              <a:round/>
            </a:ln>
            <a:effectLst/>
          </c:spPr>
          <c:marker>
            <c:symbol val="none"/>
          </c:marker>
          <c:cat>
            <c:numRef>
              <c:f>Performance_Rating_Trends!$A$2:$A$21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Performance_Rating_Trends!$D$2:$D$21</c:f>
              <c:numCache>
                <c:formatCode>General</c:formatCode>
                <c:ptCount val="20"/>
                <c:pt idx="0">
                  <c:v>2.5</c:v>
                </c:pt>
                <c:pt idx="1">
                  <c:v>6.6</c:v>
                </c:pt>
                <c:pt idx="2">
                  <c:v>3.6</c:v>
                </c:pt>
                <c:pt idx="3">
                  <c:v>8.1</c:v>
                </c:pt>
                <c:pt idx="4">
                  <c:v>0.3</c:v>
                </c:pt>
                <c:pt idx="5">
                  <c:v>-3.7</c:v>
                </c:pt>
                <c:pt idx="6">
                  <c:v>-4.4000000000000004</c:v>
                </c:pt>
                <c:pt idx="7">
                  <c:v>9</c:v>
                </c:pt>
                <c:pt idx="8">
                  <c:v>2.9</c:v>
                </c:pt>
                <c:pt idx="9">
                  <c:v>7.4</c:v>
                </c:pt>
                <c:pt idx="10">
                  <c:v>10.9</c:v>
                </c:pt>
                <c:pt idx="11">
                  <c:v>11.4</c:v>
                </c:pt>
                <c:pt idx="12">
                  <c:v>7.3</c:v>
                </c:pt>
                <c:pt idx="13">
                  <c:v>-3.1</c:v>
                </c:pt>
                <c:pt idx="14">
                  <c:v>8.3000000000000007</c:v>
                </c:pt>
                <c:pt idx="15">
                  <c:v>5.3</c:v>
                </c:pt>
                <c:pt idx="16">
                  <c:v>2.8</c:v>
                </c:pt>
                <c:pt idx="17">
                  <c:v>-1.9</c:v>
                </c:pt>
                <c:pt idx="18">
                  <c:v>-2.7</c:v>
                </c:pt>
                <c:pt idx="19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7FA-48BF-9ABD-7222F4C9A67D}"/>
            </c:ext>
          </c:extLst>
        </c:ser>
        <c:ser>
          <c:idx val="4"/>
          <c:order val="3"/>
          <c:tx>
            <c:strRef>
              <c:f>Performance_Rating_Trends!$E$1</c:f>
              <c:strCache>
                <c:ptCount val="1"/>
                <c:pt idx="0">
                  <c:v>Philadelphia Eagles</c:v>
                </c:pt>
              </c:strCache>
            </c:strRef>
          </c:tx>
          <c:spPr>
            <a:ln w="28575" cap="rnd">
              <a:solidFill>
                <a:srgbClr val="ACC0C6"/>
              </a:solidFill>
              <a:round/>
            </a:ln>
            <a:effectLst/>
          </c:spPr>
          <c:marker>
            <c:symbol val="none"/>
          </c:marker>
          <c:cat>
            <c:numRef>
              <c:f>Performance_Rating_Trends!$A$2:$A$21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Performance_Rating_Trends!$E$2:$E$21</c:f>
              <c:numCache>
                <c:formatCode>General</c:formatCode>
                <c:ptCount val="20"/>
                <c:pt idx="0">
                  <c:v>3.1</c:v>
                </c:pt>
                <c:pt idx="1">
                  <c:v>7.7</c:v>
                </c:pt>
                <c:pt idx="2">
                  <c:v>8.3000000000000007</c:v>
                </c:pt>
                <c:pt idx="3">
                  <c:v>4.4000000000000004</c:v>
                </c:pt>
                <c:pt idx="4">
                  <c:v>5.6</c:v>
                </c:pt>
                <c:pt idx="5">
                  <c:v>-2.2999999999999998</c:v>
                </c:pt>
                <c:pt idx="6">
                  <c:v>3.4</c:v>
                </c:pt>
                <c:pt idx="7">
                  <c:v>5.3</c:v>
                </c:pt>
                <c:pt idx="8">
                  <c:v>7.8</c:v>
                </c:pt>
                <c:pt idx="9">
                  <c:v>6</c:v>
                </c:pt>
                <c:pt idx="10">
                  <c:v>4.2</c:v>
                </c:pt>
                <c:pt idx="11">
                  <c:v>4.7</c:v>
                </c:pt>
                <c:pt idx="12">
                  <c:v>-8.9</c:v>
                </c:pt>
                <c:pt idx="13">
                  <c:v>1.9</c:v>
                </c:pt>
                <c:pt idx="14">
                  <c:v>3.9</c:v>
                </c:pt>
                <c:pt idx="15">
                  <c:v>-4.5999999999999996</c:v>
                </c:pt>
                <c:pt idx="16">
                  <c:v>3.8</c:v>
                </c:pt>
                <c:pt idx="17">
                  <c:v>9.4</c:v>
                </c:pt>
                <c:pt idx="18">
                  <c:v>1.7</c:v>
                </c:pt>
                <c:pt idx="19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7FA-48BF-9ABD-7222F4C9A67D}"/>
            </c:ext>
          </c:extLst>
        </c:ser>
        <c:ser>
          <c:idx val="5"/>
          <c:order val="4"/>
          <c:tx>
            <c:strRef>
              <c:f>Performance_Rating_Trends!$F$1</c:f>
              <c:strCache>
                <c:ptCount val="1"/>
                <c:pt idx="0">
                  <c:v>Cleveland Browns</c:v>
                </c:pt>
              </c:strCache>
            </c:strRef>
          </c:tx>
          <c:spPr>
            <a:ln w="28575" cap="rnd">
              <a:solidFill>
                <a:srgbClr val="FF3C00"/>
              </a:solidFill>
              <a:round/>
            </a:ln>
            <a:effectLst/>
          </c:spPr>
          <c:marker>
            <c:symbol val="none"/>
          </c:marker>
          <c:cat>
            <c:numRef>
              <c:f>Performance_Rating_Trends!$A$2:$A$21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Performance_Rating_Trends!$F$2:$F$21</c:f>
              <c:numCache>
                <c:formatCode>General</c:formatCode>
                <c:ptCount val="20"/>
                <c:pt idx="0">
                  <c:v>-14.6</c:v>
                </c:pt>
                <c:pt idx="1">
                  <c:v>-0.8</c:v>
                </c:pt>
                <c:pt idx="2">
                  <c:v>1.2</c:v>
                </c:pt>
                <c:pt idx="3">
                  <c:v>-2.9</c:v>
                </c:pt>
                <c:pt idx="4">
                  <c:v>-3.4</c:v>
                </c:pt>
                <c:pt idx="5">
                  <c:v>-4.2</c:v>
                </c:pt>
                <c:pt idx="6">
                  <c:v>-5.8</c:v>
                </c:pt>
                <c:pt idx="7">
                  <c:v>-1.1000000000000001</c:v>
                </c:pt>
                <c:pt idx="8">
                  <c:v>-4.5999999999999996</c:v>
                </c:pt>
                <c:pt idx="9">
                  <c:v>-8.4</c:v>
                </c:pt>
                <c:pt idx="10">
                  <c:v>-1.5</c:v>
                </c:pt>
                <c:pt idx="11">
                  <c:v>-5.4</c:v>
                </c:pt>
                <c:pt idx="12">
                  <c:v>-5.3</c:v>
                </c:pt>
                <c:pt idx="13">
                  <c:v>-7.7</c:v>
                </c:pt>
                <c:pt idx="14">
                  <c:v>-3.9</c:v>
                </c:pt>
                <c:pt idx="15">
                  <c:v>-6.1</c:v>
                </c:pt>
                <c:pt idx="16">
                  <c:v>-10.1</c:v>
                </c:pt>
                <c:pt idx="17">
                  <c:v>-11</c:v>
                </c:pt>
                <c:pt idx="18">
                  <c:v>-0.3</c:v>
                </c:pt>
                <c:pt idx="19">
                  <c:v>-1.9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7FA-48BF-9ABD-7222F4C9A67D}"/>
            </c:ext>
          </c:extLst>
        </c:ser>
        <c:ser>
          <c:idx val="6"/>
          <c:order val="5"/>
          <c:tx>
            <c:strRef>
              <c:f>Performance_Rating_Trends!$G$1</c:f>
              <c:strCache>
                <c:ptCount val="1"/>
                <c:pt idx="0">
                  <c:v>Detroit Lions</c:v>
                </c:pt>
              </c:strCache>
            </c:strRef>
          </c:tx>
          <c:spPr>
            <a:ln w="28575" cap="rnd">
              <a:solidFill>
                <a:srgbClr val="0076B6"/>
              </a:solidFill>
              <a:round/>
            </a:ln>
            <a:effectLst/>
          </c:spPr>
          <c:marker>
            <c:symbol val="none"/>
          </c:marker>
          <c:cat>
            <c:numRef>
              <c:f>Performance_Rating_Trends!$A$2:$A$21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Performance_Rating_Trends!$G$2:$G$21</c:f>
              <c:numCache>
                <c:formatCode>General</c:formatCode>
                <c:ptCount val="20"/>
                <c:pt idx="0">
                  <c:v>1.4</c:v>
                </c:pt>
                <c:pt idx="1">
                  <c:v>-7.2</c:v>
                </c:pt>
                <c:pt idx="2">
                  <c:v>-9.1999999999999993</c:v>
                </c:pt>
                <c:pt idx="3">
                  <c:v>-5.8</c:v>
                </c:pt>
                <c:pt idx="4">
                  <c:v>-5.2</c:v>
                </c:pt>
                <c:pt idx="5">
                  <c:v>-6.7</c:v>
                </c:pt>
                <c:pt idx="6">
                  <c:v>-6.4</c:v>
                </c:pt>
                <c:pt idx="7">
                  <c:v>-3.6</c:v>
                </c:pt>
                <c:pt idx="8">
                  <c:v>-13.1</c:v>
                </c:pt>
                <c:pt idx="9">
                  <c:v>-14.4</c:v>
                </c:pt>
                <c:pt idx="10">
                  <c:v>1.9</c:v>
                </c:pt>
                <c:pt idx="11">
                  <c:v>6.1</c:v>
                </c:pt>
                <c:pt idx="12">
                  <c:v>-2.2999999999999998</c:v>
                </c:pt>
                <c:pt idx="13">
                  <c:v>-1.6</c:v>
                </c:pt>
                <c:pt idx="14">
                  <c:v>2.1</c:v>
                </c:pt>
                <c:pt idx="15">
                  <c:v>-0.2</c:v>
                </c:pt>
                <c:pt idx="16">
                  <c:v>-1.4</c:v>
                </c:pt>
                <c:pt idx="17">
                  <c:v>2.7</c:v>
                </c:pt>
                <c:pt idx="18">
                  <c:v>-3</c:v>
                </c:pt>
                <c:pt idx="19">
                  <c:v>-5.2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7FA-48BF-9ABD-7222F4C9A67D}"/>
            </c:ext>
          </c:extLst>
        </c:ser>
        <c:ser>
          <c:idx val="7"/>
          <c:order val="6"/>
          <c:tx>
            <c:strRef>
              <c:f>Performance_Rating_Trends!$H$1</c:f>
              <c:strCache>
                <c:ptCount val="1"/>
                <c:pt idx="0">
                  <c:v>Washington Commanders</c:v>
                </c:pt>
              </c:strCache>
            </c:strRef>
          </c:tx>
          <c:spPr>
            <a:ln w="28575" cap="rnd">
              <a:solidFill>
                <a:srgbClr val="5A1414"/>
              </a:solidFill>
              <a:round/>
            </a:ln>
            <a:effectLst/>
          </c:spPr>
          <c:marker>
            <c:symbol val="none"/>
          </c:marker>
          <c:cat>
            <c:numRef>
              <c:f>Performance_Rating_Trends!$A$2:$A$21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Performance_Rating_Trends!$H$2:$H$21</c:f>
              <c:numCache>
                <c:formatCode>General</c:formatCode>
                <c:ptCount val="20"/>
                <c:pt idx="0">
                  <c:v>1</c:v>
                </c:pt>
                <c:pt idx="1">
                  <c:v>-3.7</c:v>
                </c:pt>
                <c:pt idx="2">
                  <c:v>-4.5</c:v>
                </c:pt>
                <c:pt idx="3">
                  <c:v>-5.7</c:v>
                </c:pt>
                <c:pt idx="4">
                  <c:v>-3.4</c:v>
                </c:pt>
                <c:pt idx="5">
                  <c:v>6</c:v>
                </c:pt>
                <c:pt idx="6">
                  <c:v>-4</c:v>
                </c:pt>
                <c:pt idx="7">
                  <c:v>4.5</c:v>
                </c:pt>
                <c:pt idx="8">
                  <c:v>-1.8</c:v>
                </c:pt>
                <c:pt idx="9">
                  <c:v>-4.5999999999999996</c:v>
                </c:pt>
                <c:pt idx="10">
                  <c:v>-3.8</c:v>
                </c:pt>
                <c:pt idx="11">
                  <c:v>-4.0999999999999996</c:v>
                </c:pt>
                <c:pt idx="12">
                  <c:v>3.4</c:v>
                </c:pt>
                <c:pt idx="13">
                  <c:v>-9.3000000000000007</c:v>
                </c:pt>
                <c:pt idx="14">
                  <c:v>-8.6999999999999993</c:v>
                </c:pt>
                <c:pt idx="15">
                  <c:v>-1.9</c:v>
                </c:pt>
                <c:pt idx="16">
                  <c:v>2</c:v>
                </c:pt>
                <c:pt idx="17">
                  <c:v>-1.3</c:v>
                </c:pt>
                <c:pt idx="18">
                  <c:v>-4.9000000000000004</c:v>
                </c:pt>
                <c:pt idx="19">
                  <c:v>-10.8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7FA-48BF-9ABD-7222F4C9A67D}"/>
            </c:ext>
          </c:extLst>
        </c:ser>
        <c:ser>
          <c:idx val="8"/>
          <c:order val="7"/>
          <c:tx>
            <c:strRef>
              <c:f>Performance_Rating_Trends!$I$1</c:f>
              <c:strCache>
                <c:ptCount val="1"/>
                <c:pt idx="0">
                  <c:v>Jacksonville Jaguars</c:v>
                </c:pt>
              </c:strCache>
            </c:strRef>
          </c:tx>
          <c:spPr>
            <a:ln w="28575" cap="rnd">
              <a:solidFill>
                <a:srgbClr val="9F792C"/>
              </a:solidFill>
              <a:round/>
            </a:ln>
            <a:effectLst/>
          </c:spPr>
          <c:marker>
            <c:symbol val="none"/>
          </c:marker>
          <c:cat>
            <c:numRef>
              <c:f>Performance_Rating_Trends!$A$2:$A$21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Performance_Rating_Trends!$I$2:$I$21</c:f>
              <c:numCache>
                <c:formatCode>General</c:formatCode>
                <c:ptCount val="20"/>
                <c:pt idx="0">
                  <c:v>1.1000000000000001</c:v>
                </c:pt>
                <c:pt idx="1">
                  <c:v>0.9</c:v>
                </c:pt>
                <c:pt idx="2">
                  <c:v>-0.2</c:v>
                </c:pt>
                <c:pt idx="3">
                  <c:v>-2.4</c:v>
                </c:pt>
                <c:pt idx="4">
                  <c:v>0.8</c:v>
                </c:pt>
                <c:pt idx="5">
                  <c:v>4.8</c:v>
                </c:pt>
                <c:pt idx="6">
                  <c:v>7.5</c:v>
                </c:pt>
                <c:pt idx="7">
                  <c:v>6.8</c:v>
                </c:pt>
                <c:pt idx="8">
                  <c:v>-2.5</c:v>
                </c:pt>
                <c:pt idx="9">
                  <c:v>-6.5</c:v>
                </c:pt>
                <c:pt idx="10">
                  <c:v>-4.5</c:v>
                </c:pt>
                <c:pt idx="11">
                  <c:v>-5.6</c:v>
                </c:pt>
                <c:pt idx="12">
                  <c:v>-13</c:v>
                </c:pt>
                <c:pt idx="13">
                  <c:v>-11.1</c:v>
                </c:pt>
                <c:pt idx="14">
                  <c:v>-10.5</c:v>
                </c:pt>
                <c:pt idx="15">
                  <c:v>-7.5</c:v>
                </c:pt>
                <c:pt idx="16">
                  <c:v>-5</c:v>
                </c:pt>
                <c:pt idx="17">
                  <c:v>6.5</c:v>
                </c:pt>
                <c:pt idx="18">
                  <c:v>-4</c:v>
                </c:pt>
                <c:pt idx="19">
                  <c:v>-6.7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7FA-48BF-9ABD-7222F4C9A67D}"/>
            </c:ext>
          </c:extLst>
        </c:ser>
        <c:ser>
          <c:idx val="9"/>
          <c:order val="8"/>
          <c:tx>
            <c:strRef>
              <c:f>Performance_Rating_Trends!$J$1</c:f>
              <c:strCache>
                <c:ptCount val="1"/>
                <c:pt idx="0">
                  <c:v>New York Jets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Performance_Rating_Trends!$A$2:$A$21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Performance_Rating_Trends!$J$2:$J$21</c:f>
              <c:numCache>
                <c:formatCode>General</c:formatCode>
                <c:ptCount val="20"/>
                <c:pt idx="0">
                  <c:v>3.5</c:v>
                </c:pt>
                <c:pt idx="1">
                  <c:v>0.8</c:v>
                </c:pt>
                <c:pt idx="2">
                  <c:v>3.2</c:v>
                </c:pt>
                <c:pt idx="3">
                  <c:v>-0.6</c:v>
                </c:pt>
                <c:pt idx="4">
                  <c:v>6.6</c:v>
                </c:pt>
                <c:pt idx="5">
                  <c:v>-6.4</c:v>
                </c:pt>
                <c:pt idx="6">
                  <c:v>2</c:v>
                </c:pt>
                <c:pt idx="7">
                  <c:v>-3.7</c:v>
                </c:pt>
                <c:pt idx="8">
                  <c:v>0.2</c:v>
                </c:pt>
                <c:pt idx="9">
                  <c:v>8.6</c:v>
                </c:pt>
                <c:pt idx="10">
                  <c:v>6.5</c:v>
                </c:pt>
                <c:pt idx="11">
                  <c:v>0.9</c:v>
                </c:pt>
                <c:pt idx="12">
                  <c:v>-5.9</c:v>
                </c:pt>
                <c:pt idx="13">
                  <c:v>-6.1</c:v>
                </c:pt>
                <c:pt idx="14">
                  <c:v>-5</c:v>
                </c:pt>
                <c:pt idx="15">
                  <c:v>1.5</c:v>
                </c:pt>
                <c:pt idx="16">
                  <c:v>-8.5</c:v>
                </c:pt>
                <c:pt idx="17">
                  <c:v>-4.9000000000000004</c:v>
                </c:pt>
                <c:pt idx="18">
                  <c:v>-7.8</c:v>
                </c:pt>
                <c:pt idx="19">
                  <c:v>-6.3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7FA-48BF-9ABD-7222F4C9A67D}"/>
            </c:ext>
          </c:extLst>
        </c:ser>
        <c:ser>
          <c:idx val="10"/>
          <c:order val="9"/>
          <c:tx>
            <c:strRef>
              <c:f>Performance_Rating_Trends!$K$1</c:f>
              <c:strCache>
                <c:ptCount val="1"/>
                <c:pt idx="0">
                  <c:v>Los Angeles Rams</c:v>
                </c:pt>
              </c:strCache>
            </c:strRef>
          </c:tx>
          <c:spPr>
            <a:ln w="28575" cap="rnd">
              <a:solidFill>
                <a:srgbClr val="00338D"/>
              </a:solidFill>
              <a:round/>
            </a:ln>
            <a:effectLst/>
          </c:spPr>
          <c:marker>
            <c:symbol val="none"/>
          </c:marker>
          <c:cat>
            <c:numRef>
              <c:f>Performance_Rating_Trends!$A$2:$A$21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Performance_Rating_Trends!$K$2:$K$21</c:f>
              <c:numCache>
                <c:formatCode>General</c:formatCode>
                <c:ptCount val="20"/>
                <c:pt idx="0">
                  <c:v>3.1</c:v>
                </c:pt>
                <c:pt idx="1">
                  <c:v>13.4</c:v>
                </c:pt>
                <c:pt idx="2">
                  <c:v>-3.3</c:v>
                </c:pt>
                <c:pt idx="3">
                  <c:v>5.9</c:v>
                </c:pt>
                <c:pt idx="4">
                  <c:v>-6</c:v>
                </c:pt>
                <c:pt idx="5">
                  <c:v>-5.0999999999999996</c:v>
                </c:pt>
                <c:pt idx="6">
                  <c:v>-4</c:v>
                </c:pt>
                <c:pt idx="7">
                  <c:v>-13</c:v>
                </c:pt>
                <c:pt idx="8">
                  <c:v>-15.1</c:v>
                </c:pt>
                <c:pt idx="9">
                  <c:v>-17.399999999999999</c:v>
                </c:pt>
                <c:pt idx="10">
                  <c:v>-6.7</c:v>
                </c:pt>
                <c:pt idx="11">
                  <c:v>-10.4</c:v>
                </c:pt>
                <c:pt idx="12">
                  <c:v>0.4</c:v>
                </c:pt>
                <c:pt idx="13">
                  <c:v>2.2000000000000002</c:v>
                </c:pt>
                <c:pt idx="14">
                  <c:v>-0.8</c:v>
                </c:pt>
                <c:pt idx="15">
                  <c:v>-0.2</c:v>
                </c:pt>
                <c:pt idx="16">
                  <c:v>-11.1</c:v>
                </c:pt>
                <c:pt idx="17">
                  <c:v>9.1999999999999993</c:v>
                </c:pt>
                <c:pt idx="18">
                  <c:v>8.5</c:v>
                </c:pt>
                <c:pt idx="19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7FA-48BF-9ABD-7222F4C9A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551376"/>
        <c:axId val="2120546096"/>
      </c:lineChart>
      <c:catAx>
        <c:axId val="212055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546096"/>
        <c:crosses val="autoZero"/>
        <c:auto val="1"/>
        <c:lblAlgn val="ctr"/>
        <c:lblOffset val="100"/>
        <c:noMultiLvlLbl val="0"/>
      </c:catAx>
      <c:valAx>
        <c:axId val="21205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55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  <cx:data id="1">
      <cx:strDim type="cat">
        <cx:f>_xlchart.v5.1</cx:f>
        <cx:nf>_xlchart.v5.0</cx:nf>
      </cx:strDim>
      <cx:numDim type="colorVal">
        <cx:f>_xlchart.v5.5</cx:f>
        <cx:nf>_xlchart.v5.4</cx:nf>
      </cx:numDim>
    </cx:data>
  </cx:chartData>
  <cx:chart>
    <cx:title pos="t" align="ctr" overlay="0">
      <cx:tx>
        <cx:txData>
          <cx:v>Total NFL Team Wins by State (2000-2019)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Total NFL Team Wins by State (2000-2019)</a:t>
          </a:r>
        </a:p>
      </cx:txPr>
    </cx:title>
    <cx:plotArea>
      <cx:plotAreaRegion>
        <cx:series layoutId="regionMap" uniqueId="{85C88E54-DF50-420F-9A00-B39602E30414}" formatIdx="0">
          <cx:tx>
            <cx:txData>
              <cx:f>_xlchart.v5.2</cx:f>
              <cx:v>Total Wins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1Hzpb9TI9va/gvj8OuPaXVd3rnTdSxYgQALMDF+skGS8u+xyef3rf4/TCZM0mcDoIr1KC9FKt+06
dfbznFP978vxX5fF9YV9MZZF1f7rcvz1ZeJc/a9ffmkvk+vyoj0o00trWvOnO7g05S/mzz/Ty+tf
ruzFkFbxL9Qn/JfL5MK66/Hlf/6Np8XX5rW5vHCpqd5313Y6u267wrVPfPfoVy8ursq0Wqets+ml
I7++PL0eXpxc2/Z6evniunKpmz5M9fWvLx9c9/LFL/tP+2blFwWIc90V7uX+AWHa14IR/+ZFX74o
TBXffu0pfiBVILBJvXvxu7VPL0rc/2M03VB0cXVlr9sW27p5f3jvgz3gq5OXLy5NV7mFezEY+evL
j1Xqrq9enLsLd92+fJG2ZrW7YGWWjXw8v9n5Lw/5/59/730AXux9ck9E+4z73lffSOi/Np1NdXHH
ov9dPIwfUM0oDQjfsV89FA8h5EBKLrQU8kZ85G7tnXh+gKDHZfP1xj3B/PfzsxTM4bWxcfozBUMP
JA9owPWt3YDx9+0mYAecc6a4H+zsij0UzA8Q9Lhgvt64J5jD/z5LwawuivRPY6ufKht1QAWXUhO9
4/2ebAjRB5Ioqgi/9WoPZfNjND0unvv37klo9UwlZApjL67MHY9+glMLDrQOhPA5fVw+vjgQXAVM
7hnN6gdI+RuxfL1zXyhvn4XZPB0L7ycDD678h8kA0wfCZ0LBb311WvedmtYHPlnEom+j0V4ysBei
/56sx4W0d/uDnTyP+H9cFGllUqQn9/f+QOX+oUiW/Izyhem3LNd7cUYfEB5IJgJxm6Ddrb1LAH6E
osel8dedD+j/9eXx62dhMg+oRvZ8l0i/MH++gCPpyi8/NebAp/nwWYTBJu7bjFKwGUm1ZMGjCfQ/
JetxYT3+lAcsAAdWz1Jwp9f9xdXFnVr/hPCjD5iQnAvm7yQSPJQYIfJACsECFexyN6QPO3O+K3m+
R8/jMrrbx55UTj89S6m8Nl3aphc/tdjxD3SAdFrKu2LzoWA0OQg0CVAN3QpuL/z8EEmPy+berXvi
ef08s7Ytkrb0Z1oNDQ6EFoJ8lc1+IKIHPFCM04B9zR3uW80PEPS4aL7euCeY7fMMQ28u7FRcVFd3
PuUn+DOEHkEVE3sSUfJA+QTwwV22tpdN/wglj4vkrzv3ZPJm/Sx92ZuLtr24TLr22rmfmbvRA1SZ
yKWBr9289gKNAnbjI+FGpLnThl2E+WF6/k48D7azL6Pn6dDepJdJGl9Ud5z63+2G84NAcaWRtD0q
nkAcKKQISgNHuHnJu7VvpfQDFP2NgL7euS+b4+dpP2lVXbfG/cQkjcsDBmyNM32LnyEJu59Wa35A
NEINsNF9qfwALX8nlq+37svl9JnKpW1NZ9M7Dv3vNsOCAyaVCHz+eLtAIwtQiilCb21G3K19ZzPf
p+jvhHN3575sngeC84Dq22bOH8bmd/z532XD6QFiPeWM3cJqiPf3TUaJA4lvhLzrJez5s6WV8z2K
HpfNX3c+2CXaOH88S7s5NdYlL1YX1gDO+YlOjQHXZJqpr5XnXjdHAcwJUHhKuWvm+PsS+mG6/kZO
e/fvS+t54gPvrquqnYr+4qc2EQC8BRo9hNvw4/t7AQi4TsCCQCukdzcvJHf3650fpepxST28e09O
7/77LK3qbZL+xCYC5MMJ6lF9j//3vV1AUf3A1hj/C8u+L5/vUfO4XHZ37cnj7dGzlMcH2A368dfX
d4r7v4cgOLiAU639W+TM35smCJasjtGl+fa183NfKD9E0uOSuXfrnng+PM/k7cP1ePETi1FGDjgw
aB6QxxvW6O0wZA7wZ5Df8trzZ98l5+/EcrOLfZH8/iwt5reLNsHIjzM/swpV8GMETbcAheby2ssJ
CPUPBODqryk34tB9k/kxmh4Xzv179yT02/OMMb+l7aWp2vRnCggTUExjQEreBvo9mC3QgAkooFH9
OPD5QyT9jXz+2s2+eJ4nUHBcXf3kloE+WNAZHqAkvXnt1TwIOJidgmXd1UR79egPEPS4aL7euCeY
4/9Pwebvh9q+Tv+tL9zF5mZs8N5c29Pf3uwd44x7t946oEfzhZ1vOr769SUFOgN2fx1HXB7ywHXd
NcS+ueX6onW/vvQI4Qc+wxQV8gkM8/ClHBqud19R/+WLailnMMJID3wfmIOSlAtCFIGBAvZYvkI+
shS80A2kJTRA9+LrhOY7U0wxXMXdFm//flF15TuTVq799SWh0KZ6d92yIeEjcVmWAabOtKRKgKD6
8uIMMWG5/P8ljo99ZWv2RkWt+jQNXBxPjHg2FHPhr6ekbJr1WJsTNFEaEhrS9Bt/jtvNIIPisKNt
81pEfkd/F8mcnxpV2ORVM/aMr2jdjGLdWT59Yj3vf3d5adcunuYwqSc6rnQf9HFYu8ytR5lU/WE3
TOSsY635o+qj/u1sdTSuAq8aujCfrZrDJrLDNi15fqRsVq46m/ddqOrJHUoNEsM6ycZ8FceGZ2tv
YuM7Pk1KbpMxGOIjzcncrcc8879kXdFOYTHl+VWjvOZtGou+DIehHN9GkWnjsIkj7L2syykPszHN
1bGZLJ+3M+nG+rCdKL5lrajpSRfE07smEc10HHuVyNZlOY3eSQACzSsezV4ZmqYs2Xsa1Oa95ll8
Nmd5/7YphrDOVOHWQ1IG8SpqTX+YDVYdlbqomlXGzRwfpaMb39mgy6u1x+3o6jcspx9dXTs11+sh
8o1rjiIi0u6wjGjM1GEgqjzeKpv6s78es9JW/iqvgvGUqbmsyMpNvXfMW2K6PKzjJpGrDHG6qvJN
GhReMf7W1gVv2VmfV3lomSR1GIg06sfTvOm5jjZlkVod1ia25bYO6iAOO6THMl4JL8mitxGZvG0f
GdIOK9E6RsHMrlfudet7fbKOG18qc+S3A4leUZsU0brhbb8ojpqP5jET89YbsyEP81IORX/iXNfV
/imZyswxG9q27Ye5DPOBDi35PY4SSuc/xrSYKnvlhsaVZSjyeS6i9zdWfOtiHhjOpaknm8bJ7XTz
1z//88GU+Hcza/vXh8tw9F9/AdHfTVU/eRXmHRfosN2/aKHm67P+mupdnMzXEd89t7Wbw74z+H/y
5QOH92Au6S4Zu3F4HA3pv3d3e+NN97zect+tz5PyQCvGJPJB9tDnoWY6EGjn+YFmAuONARL0Ww+I
RhLDwBwGsxDsKHzurfsj6AwyihpZEww7akw8/hP3xx56v2VFJKNaEkaV1AzDrw+9X0EyW5EhF9cB
iVynN7TmtVes/LpP509CdHV+wT0r2m3VTO3E146OIhlXnon8L3FleeWtDB1zdaITMXXrXHtVczTo
smjfFKKsvSk0+SjqLyJ32WjWnpRFxlaxUpxcq9FM3VmRjKq4CAJRR5esZI08jWXa1CwsSdqCFF4L
W75NiO+Gah0XwuZ1aAZRlq+JmhqQHJclmV7RklXZn17bG9xzT6SPxAhk6/ciBJdo9VGuka8v2BHY
BcnejxCKlGmXyCS4jgZTZc2RK3nBjwret3BXcxu7dFjNaY2h2MKPUhptn16eoMB+uP6CvjOAwAEi
FAExD9efMxa00pfpVUZylqcrZ5hgSag19Zpsa8chtm5tExfzJPS4N9fVu4GzqaUrwmc5sBOH8NLm
oTENs+RUi6DBd08TSVGy3Ccy4CIIKBRTCh4w1KN7itSwqpxNVtGPgUtYU29dHddteug81rkoZPA4
8ycACJNPtlEyepFbAVKYmia0dWPzCy8hECIZxfKRafI2vyh0pvhROhQjPmqmwcjTqBlxVZqwFo+Z
4lK229xTlsET2561q2moajOhof3Voh8RPyxqf2saI2AU/Y/AFxyjeQ/578acqKIz00cW9zlcs7ON
7M/mYk7NpfODnFbh5Ewzf1K08vo8LD1DSns0yrKIp81cSuLirWZeN3yEXViwY1AZI9UJ62fobJV6
euwP+VDU+KrtUold03qAjJwuEyyYusjHX7AwAlaUMQcrnFOJ51ai6LJ5CBNNM/y140+cjia/eJoJ
cDgPxSsBJHBFRQCn48NZPOQBGWYuJ9l4H/pSGdVszZyq4pQmwdjnK/iVJK6+p1HLI/9KzHgAaIMz
4VMfLtCXfN/s/MxEXNaj+tB2BBriJjT608NmduAPz2puxCYaPDO2oSzYBIYXfVTlFyXnPrg02LFw
75RsgyjbRo4H/ZmTkvZnFohjfjGWnsAnY9XK01uxxc1QgZVjEVTwPnPrL+KI83ERhJelBG96ynR/
5pvSgBKR59DpXLrFSz3Nba7ZN5tXEi0FSpEwY7Zd7dk8E17rxf44fUiSSRZR6Lqc1ato8KPsVNKZ
22nTJFbWQaiR2mZJaG2TNid+0bFRhHWZNN4rG5cefxOViWKrZjBjfOmnhX80RB2X61xVprjiWTHb
s9LIEiejZlIMb3lP/HFeB1mlRb1qOONttx0GEfSntkmi0YSy9EvymvmW6HVVWU1W2eg6G4VmDJo5
C5HKWj6u4jHvYQz9bIepCEdPZDzbako6fi4LN/F45Y+kG7rDWg8JiTZmimJ37BLlg51qLoZ5hlOD
KtbHYz5FXdi0dSa3vVYxW4vSG+cPgzQ0/dTxIo7WjDtKVhP6ZGYKZexavdYpHZAOiyI+wkiHWzfG
H+ZXka58/5AMJKHb2GuDxN/UuSn5x0n0ce591MYfxw9IPJl747Wu8s58HqnuSlgp7cdZ9XGFTNsY
krTv9TgX+WGUIrZtZ8OD0oQ6N4wmK2Xntgm+kDILqquE1qYf11CVqbnWnRsGJKUFErjsyEVVI4J1
l/uikIdR6eXyVBPl5flhL2vaFsl1ElTMgcsjYYHlb2Zmeqj0TGxbJ++BcDjpb6qK17U67nSUJsXr
Sox5E2+yPnZD/3oQUZym24iXQyfOooqy5lhmPImDLXRFMiTC/exruyraIB10GHtcNm6dRHbOpuMh
br0kPRzScpRmleuBw8H2ddqJ343XSdEeQzkGL1oNrGwRXboa6asO3cSCUb4tqFJ4c7sPvTQt8B0g
fo7lZtPy5svcNZr2J5m0dUyPyOh5Sq2mTOSdOhyrjJRFKHjvTUPoCy/FdmImEFQuxmgCuLPKRKJF
/HYa6qFW77LIy4Ziq3Lm0fo47yYd9G9lxkSqw0brGI5LWSeS/JOKo8ibX3FetOCUNzVw2W/gtVHK
vPJYZFXxmqRNSop3WTZkQbQZMjiCeGNSHL2zK7ishSQUE4VPN36cTGmz9us8s8G6cr4nqt9pTCus
V2aF1h+7OGialZVKgbM06FJEkBWRyfIQ0M9sETaNHn265kmL3a/qhFRMbrNkWDjGCpfjzbSJ886r
Ui0un/cuDtRKD85AAeaKUnnotC1xXb3bauLEDPY1GQpghVjSRlitSEiPZ5B0EQ+peULFb6QYFz5X
XGfIJLzOsxCFV+VBwq+bBi21ZmvTNMBDhoBMqlmlQSI6DxLkXdN9clnVpRX45SWzOUy6mZPxTZCp
heQUkq7ncwnNwgoMXzVfIm9cFExab5G8mDx8VuhyYU3fE1yKEBs0A2joAQtij7f7sZax5gvSrQSf
CRS88jwXPNJsxQc94fG1Sgh4cas90dxqPFJl3rK5yE03zOigNXZFW5VDOFrMYvkLtWz+hvmp9c5v
We3tLr9j8u46mU00f6NoXYIAUnlJ/yVPZZ3aw7RiEzbd0BkHUsOYsjj1z5kvY6NDsROUmXsHVWvd
1Nn4uCJ6ikRI8qSf5FtddgZc6mlZ4BJaAx+zK9QMUa/D3J9iiDsuBcWHhYr95ovecdDUsCD4td2e
Epp2U7OqTSUHcjR1QYLb/J1od+oho7wAfyRPccdGqGLZ/CinBKyIiV2WSXgi8eFkGl8lH2cv5Z07
wU7Zwt6dIs3d1IFKbHJ5Cklti/sAhjNoV+uShfQdQ715mPGHKZjhauP5KM2z45kKBQwh9gXF3UPa
Gdi0zmIoZd0OkG/aK9p8ITKuoD6tCMpl87aPoK4tKpnlgbRf3ngfB3grKn8xh3IWC/1VJ+Nk+NgV
cRGn2yoO8NykYSRmR3k7KeJesZ2upFmrnTq8ZbnOegtyxpTleAgigMHiWZ3miPM9aWbpf0TmlgX9
um48V6Urv40jLC6yBAfh1q6oI3dcDE3D/BBiSrpjZeLFnDvEV3yWT53Mgm2OZHGcTphui9EcOW78
slwVmhdlH0Zt7LljokmH6xPXtHhD0iiK07Lp8P9UDkp+Fv5AhBc2qOSK0z53EQqBwWZYnSSx6T/J
Khq9chNN86L7g4Yrz7Yjayg8TAC8oQs2RYkQW25Gr4p0eyw0QtX4hy/HDP4mLozJ86PbYiJzRWKz
bZcUlakvJ95iTuWozhKw45Dd2ExjggIMa6Mhj+ZPLAnM4D42bEgGeeR2Wx913IJFrB7nHDvK46EV
Gzn7BF7OWb6wj4z1ojW+1IuKowwFI4I2H8AB0tFlvy5NKd4sFBzXNylOonlhWsxSftac5pUObZJO
snzDamJxhZzIYt+96FrolY/D0E04E1HYaNtVjY3ocRw1M54xjwNyrTDCaZ3SO2oEz/V0GJFcyM9A
snJTrVxRFJN4VeZysSfHhxQlWJwHDq6SyWhCzGsneJpsi+p/YV6XAj4sN7QLclRiWVHFuB0DxNjl
HwPSs8g7GaLW2vRUs2yp2UyHcPdG5RGT7j2fmnKKNmOUeVOylUMtinZdGY9IHioSBfIzjxnBdhAM
NYQ/e3zGrmRVLmGjFNGibpZaAuXbcTJzQCVPWeqnrD8ZZlFG6n0+d4N3bpFMt3wz142Wn+FvoV/e
UM/gQMb9ZQ9RXXlw/nNpFwYWKfJVZNa6NEP9WeopacgXPhayOJWyqadoy6lpnffnkJJsjDaIaKwQ
YVuwvPFWQUGU/aQDPuTugx83WQzUT0wsGc8GhdymudJ92jf0jzYKWusf2rzrS73y6Nzmn2beUW7C
DtFh7ENHiEFOqZTQHemg5WWm6arHh57qQzUAlxjXtzvZybKpsxnswQmRadnWjbspin7xf3qKF2+C
7H8x3rQtlyuqm/ImyujymSC+hyumeFoujFgncEXfVW65vohqmHKMbDE6nd1E6k0GQ12sUpfLN7cq
i5wSnkgLlPpJ2CIPkJ8Xd+rFKztOlqmQUOsH77pExYMJB7/iEPQ0R5oeD021WHnszRzcb4ES4I0j
LXPHzexDv7nvQcA+5Aa68hQ40+fbhYTVCGkNVMU731VsVZrNCqBuVXf8fb5zWHnRLU9ucI4D2uAV
jbfQaKXlfF3GZWOiMGlk5513qaixZzcAw+lPUhovaVzCR6yh+mIhq7sxOM/kiCNhJLrFyGu6gEzr
ahgXnVTRTPM0FElbleUmyQpY43bHECrV4vRyHI3DcwHSetmrhLJCBZuny6u9gh4zpvAP0GAK5yaJ
lHsFfeLQVB/zmp4nxkhQreJ4hDUMBm62AdAMIoo+X6yrT5uF9qeXX/Cie4XtsjzO90uBX2hYzl7I
PTzJdqPxhlbJ81vXmME9LfwXASzp6aXQJnm4FPcxKoO1cDIK/8ulrL/X3BiCvAkipJJ3OuLnozGr
po44f4sp6kW7tUwWoXZpBgkbbjlEduscn6blIYQg0K8BKkSWUTiAodDzvZI26hmdHEzvXCucfvyc
CrLk422LEyib2SB1/h6fv10QYw8ADmSgqYSs9zCLPLE+KUo/OmvGCoEizhHxj9WUw/ZuLfvpDRL0
q+5xe9nhMpkkMCkbUOID9X/I7bHIeFy5Qp7deowhmQMo0STZJMR25G3Qb7M6mu37bmATeiVdtfhz
ZuEavHbmCETfoeihpoMilFLL+SqmtMDpuGCh+J78J+17g5pYc1bsjGpAXgcbH7s8gl9Pgz6FCBLe
TbBMzRAckFp4yUJIVrOmm1d9g8p+K0pmhB+OcC3TCq6+weWwj4icphNDPbkarFuspt652ac3sYcD
KRymwCaATi9Drt9CIWOSejSxzLuSnu2xcDyrRXGKgC8OuLKAdT7nwkcK9PS6D3kHQWJZDciLAoOC
ze5DMHU3GWU8FlzFqC1aGfZ+XbS/JzyiVRwOWdqlb6sIvzrjwiQxqL6+I7s908XyMAOAjVRDbvQb
xA0tudTzx4RdwbnDUFdi8KW42IX0nS9PPWIIOmLN1J3nre/P8NpJWoApTzPioR0tGk3RAxNwPwJ9
UrFvuE6mfjblVXQZ6bkS9tA0dRlNGy8qW6QKU2CXRPfpJb/dPE5qLj4SxwJ9HHba09tEJVGRTb69
4nJAA2E7ETmTfCvs0EF90wDI4GfbgesIiDfB1PhTb/WmT41fD99RBLIHxoEBOAcM+BM9AJz4ZftW
FGvkDrp23pcktQpp4uiSJW8rR5PgF226IeMzX6Ul+qJ1OGqg5E0oUj/pzssaJeOq8oitzgHlohu5
boSx9Kzs06r98jTPlqh1L6woTBz5wDbRL1doD+Fw+UNb74YosH4zj1/GnTH6AJXALH+X4Y6WLSUW
zRefX7nBLG9pHXf/lFk4aqsA3SJZDwAOomvykIygoShxW2m+VIXw0B7K0BhB4txPvkMezCKBllIb
o3d9UWaiAtZn69IScRR42QKeNwkaOUtTaVrS7Sqdi/4VR7A25Xcw1mWEYI9fYJJCUhFQSPibLGBk
aBboamZf2ohKZE6ZQ++3e4ecOK2r1dBMDYjzVNnjO4OsHLhXkM+Tdz7UdXTcaltk8aqcZ396Bbi1
AlhcaV+isdEJQJhnstTxXKIU1iOQY+plExB/JGnoMq/yNELq9R0zJXstGGyFAIvR0ic4C42DnXvh
B5pZNX3V15+VMGJJvHZ1TxR1GvkUmdWS10XTznvucr7uptaqUVfgq3FwDFEBsen7Bs33vTgFJKZh
SAQTGIsj2VOLfMzbMkpM/blGpWabDWvzgL+hJGHTK9airmtCHfXF/KlMRkwthF1ihyZZweEP8ixu
5sg7siXP5k/W64DZB+iSQE1G3peFPsw7sYjHtExDhaZeAduvbZbPn+ZCLi0bHzUcpJCC+xCQqfTS
Vtk1pYJyHCE7JjJkJ2E7+7EL1rVoWbuVqltkl49LR2Xd3Cyvg3gB7QJz06U36EuC8tRDhVasXC1K
tBZaWaEBpntL+nPOzOxeW5tHNiyK0tJy5cVROR7FHH27P6qgivin3u+XaksFMdpBfYNim31HN/Zd
OLivfKWQCPClr4CZmQd5AIumKia6Lj7PBChtHI7UV3UbDiYzxTHrmgGO4p95I6rgi9AxWxreiN37
K6KCa5OhZMMfbO4WZRw6vri/W+BN9g0q7ChjM3zlQDvXxm8UHAv09Gkylk75AytnCl0dTPVQ/N4Z
RWtyb+cz67vG07L8VPKqdCx0BuXbtWmSBt4oyduKbGykTPqub4MFQKoTYQBuBY72JgTkiSGM0NG4
eVWg9j4fgdQGU4jxDXQAXeD56aoR82heQYn8JMzQKkjrkEeSLMae+NBD0yfILo6jLHeL5ffI1N9S
xPt6ClluGTp/T+94368FOHuKOnzZNXbLMGL1UNa5jJJqaFr1ESWqj/64sJZOr2g/L3rLkWTxo4QM
S1N1RA6Ht9jdNM09WS+DJ6zLBhqdA29bVJo2Kar/o7SmbHGRDdpiZNsU/dLbnQUAkmkdDeXSricT
oLpPVpEGZvT0lh7KUMBrIItnvoBbw4+jBfvNRyAvjaOj158mbb74sPkGCqtbUXXvJy/oOI6VP9Xx
fWw9gV/+uJk+XA7uPOSgGoFH4QcLutNb4GOMkyYLfYPa2mAEB0da/9l6sEuC6XqURhg35d8UhGyI
oC59mp3ugAnApEs+rvIClVHVNgtk8PSCi7P9K1VAh14jRiyH+jCPwtHT3iuAh2keUzsLzJFVns3F
SpWlYp+lRcn0vSLs26UgugCxCdN6aDPs+32MZZVTF8v4aJe59gL9MVQStCm/m6fuBUA8HRMamBul
y9Aufj1v3+dUvkuibKz1pZ9hUOG2sKIyX8BCy8qloTAEfVWu/JJbqkJlC/QBwmL2SbtyrBrVx2zw
UQY/ze3bEZF7DEcFARbcTKwuWX2wjzj4Ppy6SpP20M7UT9oNFeNSynT4Oa3O/NnOFbLhFSbv0PXX
YRnN6GOETsSOlK+AI2E0KF6ZvEZP8jXl6Ir578pIYM7vaAJqJcxphBk9Mk6riCJe/dE2TQmA3maU
Vw0G1rqZupVvfNmW68AKNIFfs5EYJt/pXTKQS8Dk7G1UlaQZ3+Rx0muM8nS9TAm6dRlGSI4Agau0
XBdeVkNFbqEz5eG2BKNqw6KiwI4DeHN5U2DvQPD8hpuY8KOIAGhaLADV0FMPObShARDsinZgN8A/
2alT1hYLzOjtULcamRXk5tcBmdMwb11J5rBqra7StaxVkXXhXTOuAaCThLcQ2w22h7A8gL9zEyzw
kmp69DyBeueSburAYMkyB97dn/hwdWm8KsayhUPDpEmRFR8ZAFnNTuXkNK+PM+l7S5uq7S1ygWnX
IdDD1LJmneRdiYEA9AYV5l/CLHGBiVZeZ+LBL8MGZ80EfacbXathEzf4zcfmg5h0P5sPmIRZwiHQ
SZ/KU+NajLd8SGvMQcRr6DlqkW1iG0KyVUkAh/45oSnSBidCjgP9TMQ4ueAUDd2ofl9pneV0k1Wt
56NHg59iGd0KQ7ZIxDeVmSDb9TDS2U6h76Fn1q8AGhIRrCY+RcPrXLeunUPkskOKPo8OLJKqNPHb
Q+4Xbvgi/TKfknXEAQVXYamq0v5eoSfodWGwi9e3PrJBMh3L10EJRCHbVkkhaQd89wYBxEjGgmBO
lVvSzJ1qFDc4ZaWKHM0Eq1FO12FvfVkSeNjYKJBB85yGQ+71+gMqGhOc15X2im2ZiliESRwP52JK
MXI6pUN0mPKeHaU+m49LO/ZH6LGZM2UlXY1aJKcqdYWPaYbefoig1Ec8FqYNYX3Jl8zWxe+xn5r1
qEmELknB3CHaMGh20kq8Cmr/s8lhjtVQy9dySOu14kkC6fqe3WZq5JvMpN3bOSucv6ENc5tg8lkB
jZXlZVJ355Tw+pXlXvyq7Fu3ES2GI1DFxke96fQ60UPwXtVJg6KgTq/StonWRVLH4cSrai0i3ZwE
My23U1QhhaxqwfHoYKpWPKvUdsAjjwN0Cr7Y0XSHKJqiq0bnxWE+kmIOJ52JbZL55rzmmBoJCzQP
29BjJv44jHNwUWBkF02mrvwwBDTd+NT5J9zXSRoaz2OvORrIW+taHDnLVPQebe0UYIdj+opgCAlI
O6nJWU+zJN3WU+VtSFu6s7bnaIXBFazbaexOWGsxRCzKIVhFSkdJ8HvaUz0do3zpLlvKM7IxXe0A
wKdlMoU9fhXtOnBClWsv8uxJqVHLrDlx2XsMVedA8P+PvTNrjhtnk/Uv4gnuyy2X2lWSSpYs+QZh
WW6SAEmAIDby109Wd5/vTE/EnC/mfqIv3bJVG/C+mU9mjfwMsDaYK5J3/KdPF3FxqOw8L2lwf4eS
5D6AtcaeHITWBz9j5gguwzv1LOrCOsfp9xVYG03ltuVBB0NHeB9WzPb37HmuCvtg+7kslIdYRwSw
xm1b8M7tBjGUkFukrsVmmTulup3b0g9Ef10DEL0rxP7K2GiIToj9DOIk3Sx3odDhORlGV4JBeEvs
+svXhFzjAB8fs2hVw/T2+7J1o8nqZOVRE2dquooulh+rcFALfczG7VJqhgWKVRlIbVF6Oop/Yqzl
ZRQO055jwS9Df1TPLpjY89KtilVMqfZ17tb5XToxhuXstKtIIAUtKX4/jGs53GB88Fy3VTEA8aci
XLqhmjZDf9JRbCXwo/ENxXgzVD0TPBfAW44ilDmwc5+c4n6Kfy556i50C6QBEBNr/KNElUR7M7wS
3V7S3ON9OQSs+Ck9DFt1DuWQlgld5qfUpmyHgz5Nq6LfsoMKePeEJR+Loe3ka8gnsTfaBXsqTPpT
RuTVwsF53eZxy/eziNeSzmP7e8UTsu9UpnUDgXJ9UbJISCnjGSwha1Xpd8Yc04KJ/QyFNCjbbCle
i0kVn5ET0TcqCf80m9l+a7zBa5Px8CHGVrL3cVPUs5vVC5RPr0zsZC6eXNiPzefTPhoCAlkHoMO1
W/0Yd5nDieTTPodTmbD0kGEPqMQy0T1LtHyFMBTh9zfhKfCnaEfTaPmAYzw/FVMnD8E6FC/jKLdz
u9C5cRmOXBg0Y3+dYl+dpI7t07QQ+U3mefwrYgaHQziv5hqvIz48cFsfg0jps5OZPfbWRRyOYj7t
STrGNYwbkJ8w5Irj5klyIaSTz1uYd685TL2PecvVN1z47QEftuxhCzwFASTtd0NBkgvYyyCqFIj8
Ot/WKcL7XU67rfX4EwMc8tQ6LuYKa6W/k5bOH0LpuIXts20XWcT6DJWDwbca+bc22ooRZ/bomihj
+SEAjVYZscWPyEBEYEak9+WREALWZU3irS+qdXSYwetMA7bILyyJANE3PsoXBlUOhSAX64n2Cf7f
cPXidXoblPyJn2mBIPTB2zJigqE6o1dXUGi3iQj6U8FF+EN7RNtq6Kz/AJ1Av/ahMfO+CwckNoou
yBBa4DLfFf44Faexy0UNwjDeSgMSs86LbcxKuqnClGNEpiv3sA+dV2/O8FynvlXyMhcGCFLgZGCP
UzyPj5GLvedsKnpRpU52vOkKIW+07c3YAEZcu/PYM97XnpwSyKmEBN4+M8uy3dZ8krrb30cPvy5m
h0JUhmeN25adGORaOVRBhsmlSkZNzAN8PLpUkQ7abzbb+Fpxf0gv0PpIUNsAI+JZQZhRb0kPX0Li
HJFCJSkGp3aCJnEwKs1OSej8iX7bopWEplzd7Bf6FOKw8495DFZlP9+jBnVnlkS/FF7LKNb3digQ
TfBIO7DKiwv30kdYucuwi4dnvgbetrewQGjlZ3PoX2xB3VSFEoTJQzbgOK2hrm01h+d6oqHqKyR2
2El5q1vo47B6abFFePon3401HMSR3SUeESbjo1IxzVW9pjQdQqAfC8fnIQd4V+lgDccmDvTQXVgH
brAcJwAI1abcPJXRuG4vEHcoO0x9nPCmtYl9YD326RpxF3eIWtR31sggdRn0ZSqDI2ulACink2wt
Q+vWb6kK1dVLCpdVIyXxUmYxi2ASw01+C4Qnv0yB0SSSiPrsOSdB1LSmC3VYYYTrPF6BGoWOZcus
S2+rF/MMg5nO136ocJIq/A/c93rX/8IhNOdp04lBlEk7B65o2JgFWdeI0PEkeQg8k+pXYIYjOdA5
j3+2xvzYtq59bTvxoy1EQkusCeOLtRltSE7k3sfl4eOQSCXArGw7Dwj0XGXU653pZFGJWWyizKDx
inIck/FFTkNaS5mupc77GOerUeMv1ZJtl/EBgFnryAPYt9yvArfYud5w2cRPxdJFLxnUB1n3Bi4k
3g94w5QQ0+xXwAV7FvO05M2SZe1l4RN/0fOi2ka71pAjeIY2K73RFceR07kOp3nYsZkkLxPzg6ZQ
HT8zkngPIXPxORTA6Xi7AKsssBbVYUhQLaEzvd9cGA6ln+ESrv3CzEsjgpRfIT5adRTSkrJYrO+q
mbW0itPFiLIIRgIBGmqqPi4pHlyzAr942QjK+QiIzHlPQX7VEh9KW24rk1fc8rj8+5QNdU8xX+BX
IDfcOv1OZ0Va6Ul0b7Rvgx/whN0OOHmx534x7jKR0SeP+rIyY9q9+9P4OlDISC0Wt10WEvrBbah4
mUScf0Q+kScdRsSVRDqaVz0k3BMRIR5064O96J2psIRHjxRrycnYoP/Fuij7wUgbvLMgshcDprBO
xMyPEWCGN2AhIbufaU6UEfXnh5SQCHMrDsf7mzD+FbP7kr5O4/3WduHyyU3u9c2Q9kD0gDnw9Dgl
U8+rRSKpBQpq47CxM0uDKhpwjpSp19PkYRBL+Nl1nWJlOOB3KOmQdTliWeNcwZjFe6JbRXIcUx1m
NVZ4M0jMWqw9jYKr7wJbW1cxEUX+D1y8VpaFl1tz8BRLayWod+jnJHy9E627YDNMl/3qicckcfRT
m1zgesDmueOagNPnJIkugMrkWazAnUvZYqS5uEWLTxYq11cLDHBT9mZwv5Ra8VnBhxJ7mhbw178M
eCpTghUzzURNdIKG3wLm7x2ianfN+Tdij4bsxqxT53jF/lZ6GEdUPZDZSxpvHmEY+JtJ3tQyDB+Z
MK5i0Jnrwfdm/6ptFryA+8oL8OqY4cpU2W7YWwxVJ5x+k23c3HUUo1yB0RN8scevUWcDr9LkLuOt
o5+IRgoDexKsNN5EVdyNHY2Z2bUmBeQzsooyDGmyua+xpiLr3IeYqaOJbO/Toif2GPLALjW2CsJw
pBUp30QlA90O697zQzrFj6mOSF6yYO6jnwM0Z2+qjJc7SnZAuZjzH1jHU15U2LZdLEq9deOiqwwX
brLWHciqfCg1rKB4rSezkpGd15xA0qkWjQVMPA0GqlVUOnhEhd5JLeb+vW1ZzNva4qMCwAcpoWiS
pXEzT9Wuxaw2HXWnvfGPZV6cSZoOZP44NQglBuyF+CGooL0Awq+mWq6x59MnqgXD6xB7APk1LbUG
nWJKJ/Hwf49ekfl4Hhc6rXUhOpe8JzIJu5e/MAJP3FEYNRR30z4MiBNnNADcoVKQrHeOBp/DLftq
Y+K7dA9TZsPnbQ6Wov/QwnZeV045BDgPmy2hNsUVgeNYvekOgkJ+URgo3dWnhb/GlW4XPbP9Bu4K
rxauPMrpZ5TryYx1Mii9TudI4+FtJb5tIwyXCjh2NJKXSCWiT5sUKncfnXyt55WDkO8VZhzsDu28
EyKnOI89xWsGPv4hRMwAo7socGKuRY8hKo/3vcrGdRXgAww8/r4C7K8HGzft5OJ+aIQFC15AO5h4
ftkw+uUN8YaUQC83pBC6DOK5iJts3aJ4DyJtfBO5Hl49cN+qDDlCcWWs8dlpwEGPX/7EMGXBOusk
a3i6FF1tJAhqV27hDCxuS/X6p0V3KvrWPEE0NgcQCv2F+ySqWJjqBxqs69iIaESMwBRAFIU3vNDC
2ew4Y4TLymgSa1y6ybJpL5WPfI3LhZ3g7Bv2JTafMByt8UjKFPeorlW0rbel96zDgOANDSZQbIiE
iiTZyzRWY03G3H16G3GrKIPWzsEtZz1LanzJzPRLoodQlgs1WA2mzTPYRiQNugbjhFwOukuY+Wo9
d1dcMFGHU7Wxrt0hP2aItxs1vL5XHc7FVBE/5ryJV385BAvPPgYzxBAsMyReeQVBsU+woWbrch3z
1Nd16CdavQPKBdBbSoH8RwXaeDYYkIIQxDvErWuLzXss4xlz+IMDCuZKG7GsyVg6nLx24fDBdAJn
FqkPhIDnKlz1UudTUgCW8lS3h+mJFyZzrVdGSH0cZjHMtNIQzD43oLR4b5DiWXs+x+PcxA4xWve0
4sWuEaHNi4aC+v3tAauHeEhFe/FwDC8/sFza7jmjo7xPXVHYHzDBpCcZZ0n/iSMyWveRiemN24g8
IMDTfrUywDOf280hSEE0lJFt610pet++5i7RT1YOHR4C4nWwmbKR4zTNRjidLCluAeTDrC4ot8cA
okVfW1Db320UI9+YsCU+TDGlCM7I5GUmLd+pcPLfU7kEZZEhIdPJYYO9t2xrCXhivSLrGfZ1qBcD
ImSY4K4VvSnMsU0lchPLtCGo1BLr8OsWwx3axTZciSlbwx3YJRCAfoTAY92ayODo9WCW9qUSGYIv
UbvMGAqmdXmItNCXNgxMXvtJK7IdEF3xzbpMIQ+nJjxKcKrZj1h2CCaPGMAfZ+8+8S4okZlKzNRr
X6aMFHDW2dx3NS50ikwA5JKnbYQCUG6pEGnDDKIfdeSPfbPNDj/TJgh6AGgeRW0i8YdduqkJyeIq
q5L1I8NpYc5OIUZfD7PJb0silcY/lyQzFoIeKtAY8odoIOE57waWAWAn61jKgBRnz+vCz3Xo2cl5
YnlCioRWSCeEP2Gp6wn+R1asVZ8sVFaZjfu11nalSznIXJFGd4ht4/yV0XCmQbgmO5Xa5M0jnXBX
KFcsghjAR4TdxRh89AVY3HIEInzlYJ/9JrPJiqWgCGGJzsRPxmYMaPeNJU7aCvcmpjrM53UXyTm/
P2/po40sZOgo5OSaD2P0PoP/bUujh49oGfm7VJyX6JuB9oisT5UXrcFbfpAfrWf9FrOV8yoPk8eD
1GADFuguP6ZWe0dJ8aGuZc+yR6UVP6lkhlEsM3aBLpAdPOLnb1CM+wxvgzb9FOEWNS72l5uRa3hk
6PEMK2pye5/W/BFQ9wSJJ1uW/LBE3ZTWW+FhcBr7wu2nJDTDDSnevpYQt2qJt3pczVGiG4wvwXla
eYfUig3eO7K694KooBSL9sFdJawZ84H8gcCbX8dJrF5zjPv7ICbBJ0c28t3HjySl5/DEwS98h2Gf
Pzjgp3thFD51uf6J6Jx6EtpfSZkr7gf4HGxPResxTDRBPO5xH8gJa8YS1XkGbBo/fbFzKL9TiB11
7rCozKh62ErXBfzNy4f4hXZRPFYxVP2jEFMAiw4ZIBZFv1YN9V82TEAPkp+4oNhoanixQCDesdHy
UdxkvPA4eVS0m3HKL+iGAzUvZ+SyQUq4lY4zvAagcPwRVQp32smGMHrDOuI+IKCjr7uRbkdEDFf1
Snpnk1/JFHN2oDwfVVyRWPrKq3OTxFbi8GLgrOG1gdylRdCnfo1ISLBhbMz9ta8kS6Xvjnp1UDHL
NHTJLo4nm/9Ip+mOmc2CDW7AOZZ0flJjzgNBi56HtG2BWseg/xGUwxgP3n9FRhsfGgQs4wQ4RCf4
b3/21mypYbQiQtIswq6sg5Patwwcu2jJPd6I9+AMG6Sl7ebPzybKFVaYPnKplG88t8TQGohgjr0P
vEHv6JVSvmheL+jCSIPGF5Fe5k/NNhOsJf4W0a+V5TFGsnITHU6GAwFjRQuUWqz3RxKnrV8M+651
Jpu/a6/dwqTsSc7wZ0hpZqk7e2rBwnym60KGtHJ+kWdm9/+35/7J+cE1BAPswzq843YwYO/B/f/M
SEIqy5WP/OrvkYs7gGD+opyjZJKgIpasizVCCcZ3HiK4PYVF929+gX/azfdfAKgoCDv0EcElhCn0
z1+gT1YADG2ffbG/foHxL/Z4ZMWAd5zH4Yv95f/+b5vDv6mvCZAwx8v7Lxbg3hfxj/qaf30T1/9r
cvj7Z/7ucshRIQlyHFwo4BZklCO8WH/316BbGtmxGOQMpJEUnj7+6O8yh3tnDkzaP+trfPQ6AJAD
+40oNcjO/0l9A2jI/+LkF9jB8N+9xiaO7+n7f753CgjlOUEI5xDl7YdlnStx6fEmzfx3RDdeQBYf
AIHM7/kYvK/WBlAk1h2WpJNagdVv3hweIzuux2XAJI8miORYaNhHcvXhc3kz4i+mgPtITFrzLstr
ni8+xrVB/ABS59+8EPLW5ildRwjsViK/B029yTW6zW7U9PmT3foaYZnxPFnUJCjclGWEvblZvDCs
0bYjTz7Mn9mMjwC0kFxWsYI+4I5yybbnZCFJzTOLtN1q9bewL5DnXR05dn0Hl8cLnu0WJXvIRt/T
eOyhzNkBK9fQPSi/D84URHPl+1P/FKSLbBJkWZ4A+jbYXt60g5oVOXhkc5ocxsz85PAq4T8ZW8tY
uM9+Ktozs1hKomJD4neYUyixFpthLLO9xTRW2XhwzRBFX8j/RjtEVEjdszQuERf+GZrVVp5CsrVg
IzzL2dZ0mwDNqKlt8KqWtsum2zgvOzWsCA97j2SlQwPzxB1EhAHNZTy4FSIc3pVJxPfE0N1Y2Oct
UOMNS3R+6Ydcarg5GYwhzL4PUkStbcLcwOicZvauN94/w/SKjxGyIhV2Zge8qTXyZY488oJvKErO
MVuxF3ljIg+tSucL5qb+igpd+47kyfIFk654c2PEoJxwbeuUZ/kFdMDYLJbFx1kP8C4tRH6MG7jB
h9AkBxXl4iPraYZqHaRC3iYGFzUZumLvh0NwjafNz5DFgpSN1V3ICzRh8HbITOHJK0IdlJ2GmLGE
YjrJhRBabtyfTrOHoDAiKojUInPDrFcGHA6Jj3kL+kEU7EKomz+y0Hhp7UiL5T/syRsNB/6CCx9p
t7HnLwHjwTVKgWvFlhaX1jn6Ayyn10Pzg7W269kWYPTxXKN8tCchEN5ftWItBhLges2CL0/ZbxY4
VARNHbnk3qwYFiC5zjB839Z+9T+lzqKjFwGiqtpF4VmVIKRkZ9wTnkCvMhimtxJfcRd8MzyZTu5e
aZCFSFTWPmbTp7DFWzPRZGUHqP548DOEulsGgagvR8wcN5Zqfl54kqJ1YcXrIHLQtWWgXDc3g+yn
ZjXjWjs1io8On799j3aTrHRO5zUgETgh0KaGNxFM8C3RPPTVz5vZBzoSvzHzuieCHOrjn78ZxZ6b
74wO8NcPwNWe263zMIfLJK0i2LjPMA3zS+yp8Y9h7OIThED9baExpEMURaRVf3/gCkr7bdWJes3c
iP9xQO7imBgcInUe8bXxi+Xe+hRTBJbwTqOJwr+2tQVqrSDgJ2dMVEWD72vkj1YUGFe6luoq2ebh
LS5s+N1OXs8b1LFkzzJp4yNnxN0CZznEagzEYatRIIJwO049HU8nb9zwqoXEit1gR/WFBg14bD5P
H4EyrOeZBOGN+DS/2RmcSod3JCs3CHg/sB9gfUxGbGSIV+IvMjn+xWyd2G5ou3u0ajb7LaX8ZW5n
aLuDKpo/X63Rjvylb9clrxZGJlUFyuQVp3jm1ixOLgF0CagNOZbUGrnVvsRu01bZ4PCuRxlU2ef5
BzL/KzA8Dm2Sbtdl6q5mXp+0t3wzc8tLk/AfU58jH4xoRpE/hEo/+rZ96owPskl1h5HKPxJbnIuI
D1jJimoKs5tbol1kur1Kt7dWLmkNYTq/pMgrl4IkDVu8MhQrr/IQq4zCPabLEFjMPuiD9BYL+oru
guCaGpzhLMjbOs1EBC9qumPw67V3BZgTWi+En6IpI08BhJPHwIXISPJ2hWWUp90eYUla5oWJm1Ww
sczELA/GDKJSSC11sMOCr6nFBjaHv+fJ8DPELHGmm16aKRyDI7pofslAHaY8ecZwd0crNchKKLIf
Xhu+L16OBYCP5TYt4w6TrSrHdTKNN0ZrTRf0NpShDKGqpSmcBwzKleno9jWapAq3bkL7W7fsQFy9
TNAKT0XG9hFVHfiDDS9wnwY7N2uCTWNlF5YGrymIPeil85G5dTz6YNQOFodw7edaNG5iBK0H+iRa
iCEexPzZ13chisPuZH52knjj7ykKDerEkA8/gDDujUjTBesf0SpuAiH4332Y9YfYzv6PLPV4HTD2
TQUL/bmuXoQcnVnKHgJi5etpQZa4UCdILfGM/o0N50FkhkNLtygokbiIEdyvw4K8zOPyBd2PNP6U
r1cH4lo06LjpVTWp0F/LaZO62Uw4XXiQXgec+c94W8kGlHvwBHEsboDuTrwatUcPKEwTdbx4plyC
UPxekpCh+yY8riMHVCrETz1weOo5ijloYN59shlAabjti3BO9h5oED/2P+YO5vs6w+4P7oAsVGq4
H2jxwJbmPcg4eQXJ7Ff3lHNJUeH3nmMzqCZsiwrhs4vNddtgSMi/oBmZG3Sj4JWt832GyFATsCC+
dIKebpPShCRHR4mhrzRDFRyizegrIxn9raQcTqhRyEoUBBIIJJ7Z4U63O7bgZ9sxatZN+deMUP6M
/hpXgw3FZIWgdmmFzK/CCOz0/jr8sGEAiAwhb0R3oEDItN/qAZ8inOSq11nVTVBHCBvzokT4ur0Y
p1hwWkISuLJbtvQaFrPe5e08+vhItG8qdd5jGoDAYFHoZryI3K+IbL3GMKovcNpivGMm0qI/KRFh
GW8W16DT/MpRp3mKEfxtyAyNg4AxeivmXt0s23rawDAFOaOKybuiUiI5YlJg+8Dnc9O7gVSDTXjc
dNL9MY1h+Aj0R71a2duDQG/AdzQ58HLAWQh9oOgqm8E+8GKBhHy2HdmIKWw0xjv5HAcYqNr5AAtm
qYRUtKIEkWGIcNCNZ7hqazx8ZsuQI3pK7CNLPf9BkknuUB8AGybsDJI2jKCaTD44Tnex5+3bsE2r
Id8+qJRc1HQyQ+XsjG6RgAUleEvQYmAoKmAD8X7j2wPQtnUvATaXIUyTHbLV5mm7C8/M8AU3l8lR
JTIPLzNd7CGPmPcRqeIaQM37bTOgMDOgwF0h0nanEfwFSXV3YtCNUWu54SOODqXS5P4NNyh/hHat
UcWhgYv70KQi4fbOurZeou0FkcDs6vowKFWe0/06BXugZUs1BLLhhre/obrtI4Urz8wcyjPCmY0D
4HjqDZRf2PwEsWBy6dv5FpMkQao2p8d1w6ZMaN4VqoZFyYImjbYb4Bc2BudMe2lvGoo9PBB7IJu0
RXkMnFV8hBfblnjAKFSAt4Yt/K2F348gbuEj+gbVbVjd0WH+3S4JRhWYSO3IkmaFtF1DQA9hDmrg
lEOJextqwJj24PYW2N3rr47BqovLNCI8POA2/O7G+NmDEbsDXqGrNtb2hWQbPIB1W64tTfgOenn8
APDsfd4iyI8ivfUFR4xoU+rWFVNYD5AQHudMJJ8LCuQqGk7bZ7AE6sGOmbfrA/NbtmvYWOhcD7kx
UY2a5viEuIXF6dctT4UdwovN0vnWYlSBjKmjGsHxH+C2SDmPmv60aOmsek/GEe57chq9PoWc4cNo
nRe4XaaHCyDyDlelGPZOxf0eBX/f0FrgUL4Yn7cIg/Yw0K8stAYi+yivacCqgce/uiFcaqL64oRS
j3RqYFlg6G9XqT792KqvjCX0Yu0EQjiHAh2lfQJtsHiBRVT4EIAA8dfMKHbcNqTkMSTE6yVGbcmz
GMbt+yD94WHpxl9YQFuElsIZUKVVW3JeJ8Lrfup+oYsTtz6syK/MpPcziyiFSoTe7NAYAJkSTQBN
GEbuphD2qzAD3SJYuI8RReUpMurA2/y4mGuYOvikwTV7S1HhdAb/P12Q1MrRGLWq4ZFNc5ZU9/Dr
5zQvED4J7d1uDDpcBXDKMlgufc4xBwxF/pVDBOoq0ybBrUdPznclM/GxReP0uXVI85WGRLGHIz+D
FaJ9O32bMPQ3SbDlZ8IV3y04GBtAwscejGQJP6fHBY0u1r7V9iNQW1Cnc4aWo2TqoLGhzoeXIf7x
xxnmyyOEug6Lb1+ob2ghky1p0OSGUBhERNyD2woY1sJUrqMFgracF/NHt4zjIYtUf5CzFQfUaPxm
DoTyspIM6+NyYVKP2LNkfkNTlnlqOyVuES22mtkZ0y2NwZO1PEfsJOprWuTkhF/sFYsfqbOi4zuP
jvlxgC0u/1f1+Uum+TeqT4QQDHSR/171+UcP/r318++f+FvzKSJ8hTJim0VQpBDrMAv+S/MJfHyv
KL6vKkOyHSHhP/sz/6/mk/4fxBHwRwjPIpWJFv5/aUBhgu8ZQQMBlCQfOVekAv8nIlCAKOo/VSBk
6hJ8SSNa4vAVThB1w7tK9J9i3tCYPdwT3MelAKnceDEMtGH99adcvgXe3HResJQOk9gts/nDsgjz
nho6vwiOeghfLie9AgSbAQM9/Cmkr+giIXvDafeEvhTvp84yVJul3J8PcU6yrkySsF2epgwFHs9x
jAN/LL0JDR9H0KB5eC1igJKvYGVCuOse23i0F0wJ8ZAL6WcgwQw8O4cbBiQR9BLCaLzbttaHuy+s
lPMrSvhU4krw5kNw6gqXAmENSaGarPPjZdcNcShOKsa6HIKVZGiLRqZkXYumhyAfnDK+hm/xCuMM
KxwPOKpmYuLyPaKga3LUPWBRglKePqPfyOp52pRgzgyAflzcP+lEEPpOaZvVW7i4ZW5A7fkmrfIl
6/0XOBRUgFNBTzAwaw5LC9Q5LuW06HD7AkGBKZahMdX4lBo0G9A1r3HeHMaWiw839WqEPRipA3SG
vLHIaH6suPLKPGq7AxSGl3YAMFM6TVEnNfEDDe0bCPNoT5WlZYBU6YHZFocW+NfuOxAx22Lp749Z
7h5Q33DurNbfl3bEYTnc7TTXteVkCpyjbfpLOWLRomM/kGhesFUWCDdGMPbYmzMKNZZFQE+gTD/b
nssmIky/bLlesAh4417jKfUilN8lmbB76OLZDuvhHrGXm9n6NyB4f+C7l9R5WzhKzVh73boZcJxW
H3xcTqPh04EhWltnfVQ7bAY4MUV6FgKBMhTRPAEO5SUL2ZuA2IF5yuMA3czvtJ/ShzHdyJMteIpR
ynllobF6LRGpUavE9rGJg9Jt5jFEgxEaxGA+tQD5q9ia7gJhTD7kyv4He2e2HDeSZdtf6R9AGRyz
P3YgRjI4M0lRLzBKTAFwTI55+Pq7EMqqlJR1s6z7uSvN0mTKIiMCAbgfP2fvta2dDxEEKhMNynJa
3A3ThiSk8g2+pL01HDj3pV+CpJ6Qjc/zTteu8RivaoFSxb9HlC93rtE9cUzjQFjM+cHUtBvxT6fH
MvM86Bmmt6GjgWGldPt9F7jOiXUh2eO9k3vYXU7oJoY8DN74e+VmBZxDpBcRa8cmi4GnhTRnvlQ2
Z4XBLYtdHDOQRILabqvKLjZt2c20PQx0rOaQ74TRppvAmp6FW8L6ybMXI4+oCEooWK3Ge94Zr+4c
mfgLJ3WV1C4UHe2k3wDXNJ/7xQ+VoMdKazPbtENNvxL8A4NGpFPXntfxxPfMpre2sxjfqs5D9jtA
EXY39P7MeNuogV0Rpa1xtDKzf5zFMPpPuZPpew9xZrlCytNbHVjenqMOpb0f+W0okKY+Y4jows4U
S3xIEdhflT0Q7XC2O16NGytbNtHYfe1zYAdmNAz3uBEF1Ra3BR2hXGyCaZo/0H6b5i72nfmq79Ly
aHXjPMpDx60FlpgjNFo+3i2023bsvsFLHZle45PZe1PfJ98YHUuetVGyFTtmrcdbEPPtW8uAbrBW
+tmyF0NhXielLIAeUtAktWHRuqz4ZNkIPkQh6oEb865w4iDS5PiFNpkhvV7wA+ja3lE45QfaELSj
g+XTJBz54qeMo3NlvPNIvVroeWiY0qUv6g6da+3cIvPPtk1uqWs6Wh9RGyCZtHT6UjAXBrip3fTG
auZBbIp+sbd4eMV9XUS/1ej3AICSIHfWTl5dCdntkToM56FP9SPTXOMpc1r/3SrcdBtnkjNjIRvk
TnHCY4wryNpFVQldIZ9NxH8zvbSoQ4LAsJHTPkplfk+5rwyTM9P61GYYWx+KZbD3nCMnBG15cvDz
4T5PnHSXzu1xFGZigdqDRFEHS7CZI698AHXyVvaVe8SrLb82VvuAaSYZNwznkfAE3SePOesmNU1j
Z9nDycmR3ma9sPHqCt19iyoHi43RGdc0EpN9QEtyW+Kj3+lqSjdzHMSgLQXrAS2MFODN3WKYw82c
SrUp596n6p0s1GSKR4tG665zrPiQSBQveL+CUCp8ZAgCDvNabwUwP2XPqoX+eaYxQc/AhBF76jLm
qB5KkE0sxsceQw4enAqdkoNUn88mj/U0HaBIyhNqriisxGQioJXF1xnH1c40bKgAwjC2us3qrSoq
iK4ysNpnmSq5tYNs3tZOLrdtV5+kITlTGvrbVPu/MfGvdosc+73ZcqYeZ4pyw3HQkJdTQlezmK6M
rP4YsuUm76IegDJ63GWksQB5s7yzqEzOEOeqHR0JtR/TzjwtJNMcDZcJRK1h3DNFTsMgzrC3BHzm
PuMch8aa9a72kBGvXSDmWEjqus8WdLNrMN0RzdkSoqI9zhs9K3HmHmgPbepw/M+yb72Xy/2kl88x
82oUOZK1TM1udAMVP+J8rFj6kel+QYcxhpjMmvsos6Iw4WR7O8LpZXOHo+GZ8Vsl3G9a1r87XZrv
c5eCYZic1wJNfFhkbf2SB/yqhXkMwuyp+4ZTAhVEqzK0Cbjx/HZM7kE6qQemZHrtyS1niHlcBj/7
3BeRuWUxxUNTpcNrMFdsGJ39lKYeJ7yYk7uaAtZ1L82/WHTDwsKaqxMedpicg4/5A9D5noZscbaE
Ne6gRdJAtOcvLQoImkuevxkl72FEikiXuw5eWtNa7jPCHda2Gt3uTeL3yODHTPP2OdGpNx77rLuB
ch48c3riZ20MLU2PFjqfGCXlMn7o23y8d4EovfnKe3I9j257Ht+u2LWjTRSDHU6J0jvGZlxoZmTO
b9LNxhDKawOiOtg5S4QjDm84Mph+GGcMknSmUm8ALxtX1odbTqW7nfmeaf+K6m4QS3c0l8k/+pMb
fB6z1nzrzekrEKPubjFtQ+2GIRmOSnf2nVt4w04siPtZWXVH4y6hI20NciWBgT/SZvFYMwR/HFGy
mahOB4MSw9JI4p02/9Y2dkBPtFUx3yluoQpNW+MdtBYuj0zpdbDUWrn0IRpobzvH9hPyAoSlnXnG
W60+tUw6vpRxfZWPSbRsVZXEYR3bH7nXIhr3UuuriJVRhAuz2Qx6Xj+d9FjR2E+zRBGM4c7TVzMP
8q2u+vYJ9Vx9Qtbv3wyJkR9k6d1zXufA6Xf+dmA7mI74GhS3szf4H1HsF2Fitf6d7Nz01UVxciOg
pW3BseY7NwXdrAF8ovDBKLKrOrt6bGynSbELmO3tlOHH2ZhR5W78TvfxdkHbVGyHqZ3vyiDND7A5
YVj7Y7cXsKd20LvaQ9d4xkG5KiqwNuXpK6tZ9soW13/Kx8l8ylQXHU3lpyfTHal4o9q7ootuMFMw
0PbCpBrzl9hK1XwNXLfYyCVprqTBvGyTmGO202kur6y6GcIEI062mZxSb70hhjRrts1Dt0zdqxks
YJE1WuygreR1pVR358S4t+DTNxnPX0W0CdbebVa4jGuprpYX2XTo+Tk+tOMzRApL0lF3sEEuUtve
xsn1POxSxfNwDV6mKHYBso/fINss3qc4M+igDsHEzornX/IgEgmymRtvindO5ni3np0lb4M/egbF
Sv+UL+UstkjVjJu8nNK3qHDLfRMFWHWKZcpPqH7NrQpUjBDVyQwaj2uHyoym6GHg/3pkZDVdNYV8
YliEhK6s+y9lURJikPhq73VLfI301aOYH+pu0xVD8SySMdnYpm8dxqDIzqhj6v1cdOjs4joPtbHk
7cZttLsfRTk+5I6LN8JdIpzDQ5rtBiX6c1Eu/cZBaX3skVfeWxq50mPgq6a6A0NAoIyMJ7Nm/Acm
waJYKHQimS8hYbYs3X5QbqY0wTeZX4/OU9XFXsbQr5+rwEd0qmRSMHlW84DpA1tS6LX4L3MSAxo6
HAnr6BTkE6WTZx+7xHNfrSAt+u0yIjU8ErygxRfpBdHWNFQUn1M6YcjOwTQp2lUx42GrH3QIkX9k
9cGxex46Qx/7VorHqe44C4jaOCxYjrZDNxtXSCv1CYWC2vadnZ61clMc7L3/rWholX0XBDcpneLD
VOjnNgNu/SYEPsOC6d9Nx/O4Cdplcbcewq3fq0DHR68vKMFFx6iyhtX0sigG9qnH6ryDuZrtW6td
3k0K6+sRywGDzZzkFW0eKn7t1UVorHWqPyWTUzzSL3SvFo1qwSocvXUTYaPyBU+0gyTXAYlFd2yS
VHAAdC7ChsCbW4dm35Z0BIf5GO6ubppkuJRC7WL2Oorzet5NVtPt+tw/Gboctths4YjEqdw3GMHf
XWdyjkXW6E2UsTLlFXx3P62SQxrbOE4qNzjbaeGtQsJkhJlsDIfccnCYJRIBdXM38E42F2Wztqz5
WIu8ppTCigm9K5g2yFrGHfcN+m85ubt6zjjfcFOCWVVpshuRCu9kzjYOQzb73FLTbyrpF0cjjWx4
muwk5eiVARbprg0N05gxIdv2Hk5/AfvIN+4uimlE7sd+yvKbKevL0I1Lcmsu+ul8TpLfkZc6N1EE
CRyULrbDyuDZbVn4e63COceCujQ5xrisG9h0xvkh6Ux5O0xxhsU99Y4ZLdEd+UMsmG1VXaWmuA8C
8LltSzc47HX83vqlgpi6Oii0qIPbzGAgMBVmthN55CAukfZbzMAfHQoMyrBIk+IN5elbjTNxkwzB
wXEngT1KDx/mxMYakCXEFAuAruDgmTJxpRU4lXEezgxiNsqPva235O+IeJMVQIbRqZw+6YBDRBxs
56X+KFX+6aIDz63erHZ9V2bVZrLtHQ4zC6yqjK5U2rrvyEMj4h1ML6RmFmaIkIbucIORftUf1OfK
UyV3S+szncl8LHROes7xRjCLa7HXIuMG7ztoc7htO+ptZQ4M3Nb2zxS0+iTrOt8t47AwCQzM38eS
I5rq1HAsHPQ7I1KgB9X5dAR087VLpu7KL1KoJwHhLmibtjgE9CnQHuY6y8iuLL8YHi6K9Titv3Be
oxSbS+S5zqKKU9lrciHioZ1fhy7CaT+MNzbWhBdKqefUgIXuN51/nXj2GNbTQuFYJadoXOoW+YfR
4AzpP0tR34xitjeJsl4QMzF3GBxnrz0mYCNSutdkEsXGXoHAeAmGkImO+wxI0mV2m1noWJMzXKY3
NNTtcW6Tp8YT3xDgUf/hbWS6p0v4n9abnQgQSEPpfLRu3mzNuLG32iheJvA637TGv7GPwTR2DKhR
E4FQ6JFNesVjMHc0tqtYCVxIQfR5gLeGhWQYGhoU8/gIvAHZUB5EEW0nkP97jP8zDV/SajjjTC7Q
Kls+El3mdhttuxVymQHh0Epp7gyehGLnmVlzhQVig4YqnjjqRFu+Ku3fZMpFpeE5FNYiM2hnL1kq
Nhj883I3wNltd72Z6FsLWu6JP/CfiMD6BpD+0VEVi0eQJldSm9nV7LK54gz7GmW6rw8ZMtzd5DGa
9lHhYzGZruDg4uk0xUvDlsR4qsPRY629QF3G4Sx7ICqgkNZngiovFe7BcqmEv9sLcLsOI1LY/ugP
9ec4WK4mbvgwB3OBn9K4QYJNrZO7NVwh/0qLodv/6ULAZDFtamky3aXUD6lMLeS09bmJhwcsvR9o
07njkRvv5FQ+1I6GMFvMPpZbhk/+vzwK/lIYd6PlvKbCaa+7yCA2jElsGOd2eUhMzbi4KsRxUhzO
GrdvT2UXm3QuGGqamfvxp49BRWMaJtX8OYuZwFnkGxAz0KQbYrm+RO4gnsbAzbbeNI9NeLE3uK0/
PLH2WRvPc9Gum3V/1dQ0oyBfhyIimQMJu0GfBbT1rjEBR0uvvHG6vA2jxcZ+YgF47nd+LFbLsZlk
VzX7o0CLts/SWb+TYVa9uSgUi21mLMvXzCKdA51cZryvcR53vpkbR8WG12xsQhiOAYTVs59xRPJl
oJLtlMZXjeHEOzQ68xfqLB6tWBfvqRLB3cVisXRJ/5XZ17fvNguZGO0VYi35sEzY290U0HL4p9XC
wm2w3DZTUDFz+tNqITtbb5dFevvvfgsvwwWirbRswnTBXJRqK+G8EBm3kOTd4bvzgsC15zl2f/vT
fBEzVzryHMy7iwNjlMELIhJW+KS0nmKACyFuU3Q8bfReTCt1sIgCBCmrJSPnkG5cjxZFzfniy6i7
Ac+1I7tpfzFnNCr1+iunZP3ZeJ2p1eEvPg3S2ATyyIWgFXusNMQkr2peGu3U19hzg2GTVD4Duh5Q
9GHWKgKAoMSbV01wZMbUNZ8xeApvG4BUfe2zDiHOv3V2+Nw9NRPusTtAfU7Pi9a6YeBpE6jR9DEV
0zx2jOG6omObXyshVpm3HywfWa+6I6PJavOj7yM28iGEjTY9ub3uaD6ZmfY2HMMQ3lmGfGEoGX+4
iKvibRlH8bSlp4ZuC/8DKjMetD9MIH7LwXuy2KIpQX90gjAigMNFWb+QU3WlyTnBZdqPhziN6gfs
vNarAoM+bV2HBXtpXHHfkrcBGuJPrwhrWXWf45J6/e4XAbjVw/RH0NTMRveaacO8NYtxPljwgCSH
19Z+wMfpP/5bJ0kHafeJMSbN0MnqeUpRyTYAO92gtKgZk2T7V0OJ3chY3dLhxyX4F0NJowu8010T
KxIU23uGoY6CdKStnU0b6tlc/PhKOSyVZZ7M3y5mExT1FGqLB02QTkdzm0iMa4yRU5TuHnPucVXN
xlA12OxRrHHYAcACAQKn4hiYRB4U1000+adhNLudbr3sjGoPbU/mC/NcLdX4G7kbTJy9CS5TYoxO
6DXOxeXHNDir9a07j8GxSARq/2HRh7FF+GPrDGOQ0YzdzcW+QvcW+y0492eT+u7cVPW476EpHWln
+nRpjORxRlv03cgyMcsIY90WNxi9vhqDEDsWp+joJS6pIaurRQ48Graykl1a2yfgiMF9OXnTaURK
eeUZPnw9L8q3Tsepo6diDOk3N1dtIvubi9kFmuAXwhrFbohmc6+C+R0BQhJaDsh9FA60FUWEvLFu
5hcjtQE7NfjpLmYYA4PTIQFLF/7giKmycobjEmDWAni1XW0A8Dkqallzad7SHGEdR4XlODeTt7CR
tf194Ff0gYXM8+0PRpk5YbNRoMvIZWQafDZ8dBMu45s/HTMiCxB2Vsst8Yv8vRk9tPY0342ERWys
IXuRrfXJjlmsgaLuUsdetnRK3mXZeBvsL5jPxgRpyGqsKX2j2lsic44jhhgnVo9LoDkqOC4Mrd5c
NnG83Nk4Oze5ql91W6t7L+4BeJDZUtfdYVic4fO/PDi2Kcy9uVAhTz8ZcQqp6oexrx+g6OawoaqA
rV2sB8EkN+4CG9MVztnkVJemdXYG48Mx/P4GmyKkB9Z/XK4LRh0Ayp+6EXUgZI/zoDW67bx+vcxi
/8+s8B/G1pzG/nZq/d9E5lUlqMEfvAqXH/ljbC1M+Q8kcy4Ua58JOFzJP8fWpPDClvZMd2WVS9Nj
oPzPsbVPvC4/FSCEv/yXH6wLRFJa9NL4dUxQpAj+J1Nr6zKU/oGJh1XH5X2tQ3OTE/FfaOlFjT9t
yryR4CANec1jKtMVOWd6lznzNcevAFgqlWG39Afmy5DcX+GH4TPKSl20zxzKu6WBY2STwJQ3YLxG
FfoD6NXgiSYuKyY9d46Mog/1SPtq7wD8LTAxy5nR6zga2GJdyyqGE67mokU/ueA37PRNmc+qZI6Y
IrCRgS7J91XTVWUUg3miUphvZieKnpVda4Bp3idjTa4dq8FfA80IHXOVPqsCWXehJtTsrptZzwna
vzJMkx7duixGpPJBM8gdcTfYAvJmQXbr5d70uGBKfze1RYOONOPhBog0Zn0r6YgAbhjGsMLYFDuH
choQHg2wSLeurNKTV8S1fytlN6iwnU1S8gxUpgyOiAbuLinBxoodTtboYB0RIqyWNU8Y7z6/GJsr
hWOxRg5bbsSBaY0hHi+JxNUaTpy0LcIwhqFALtp4XhjcEGSs3Hr4RH7L/BItFVr/Jq55+qeKYAVM
1C4fFAN8b32C412fR1fkh9byGpAs2bDzYk2Uciua80iO2gpUg4+HsIEmYZrRrfTWJGap5unMdE+2
TAudutsnLfImFDbCYVrIyPKBLtjO6oyyQCmHTtGrXOwcA2dYUjyUMkJ3AKu1ATPeVFv0tphLvKE4
EmdB8RsPfbC3xnHcjR2jIdiQQ7yfrc7kQseaXUzQav/mR6n5vhBUsM9cnsZ9FqWoX0tnfi8IaLX2
6ETdQ19N+kmU5D5T+OSfKhPaTGQODDe0EXekEiaxubUa/45AmWbbU6avegJStFYpHjeNmMTAxDen
VcjgYZf4jbyb3BpkVdRw8sfZhwCCSmDDKDgjO88GAeYmff5hKqM6MQywTl0BL81z/egzTwM0LnLT
5JeoGKix5rYbskPc1dZzlKf9aUTaugfDgYZDllH7hHP3K/JEYzvM7JMgxGkG8wSkJ/piNtNZvHky
jL1AnAsvd66yxEWSjiTmMLSJF23cdhEC1bIVb1qrMGw03/UzjLrmtg7M5UveFdGWtKj5hYlkcYwW
GJOhgQBQbeiG2jQrjPZurqbytnZRZkHnVWrdL1POFzBatiKJqt+8mP7qaMjyBEQpfu3qFaiG+zd/
zBymB+0C3gsdyaGrgGg2fuT0G9fJzAc3qftwBpop91XpWECb3YjYZb2yD/Ak6LumiOSekjX/vRTZ
fKolNPdpRb1i05BI/7qvykydLcFWhDlDvjmuWW5Ika13GlOvdAtcDqexnLZysPwm22Ki5XvEZFMn
uvfuxxYkEi9LmFA//5+Y66dA5vePIi23KRaZ9Gv34xZnc6QFfP7/F3O9vhNyUMZdVf6bH/vn1iiI
ZBY2AzL3e/Iy2qx/pdA7//BtbmAEXWx9f+yKDlupybRUmvzQupXyFv4w9DnuP1yY+7YkdQnmteDd
/TOO+v77dvd3efS8xA9kXkAB9M+BSxJagpJrdRj+rORCo1xj7egZsw8oOsMynfoHKLWdB529bj//
cGH+ePH/ooN0jyO6I81+/WV/7sCXFyNGGpoJtkWPj7vKyn6QjcXu5EDi6ZwHcgj1G8Zl63nG7/eS
pUyX6CeZ+g1JlvMuB9Uc/xcvbZvo34iD8bioP790amRi6ui6Pywk17+VxBQR3jATBLXze0882xwC
EAiZjYVqnxT59LsUkvzw+Pfq33zy9df//MnRyllYAmSAPEL8+vKWncalVLn9kJO4yfwbOgfn7q5f
9FVarS83rdS5v//If4lIJm2IW8jlDqEnJv4SgFPqMupjLa0H1yqt5xIa9MlC2UQmJRqqF93R3Xcg
p+ECEn3THhJIAB/eCtrODY/rUHsVRno/VtOxJaEx2i3If989ZATYCNwBDt2gIwZeVI3o21stCvY5
lGb2f0Cq/+yXXu8aZEm2j0yAGHLT/pUvHoyB3U9+Yj2Int5B1ucO4nAE4PugncRzns7VNXyN9uPv
r97PRtc/XlXyeKAy4oV/DfPBDeCryW3EA+YR8czUgiLHL5NvpppoPohlenQdLW7RNSCNm5M+Pfz9
6//1waRYJbnJx+PLffPrszJICTEDquqDZ1CopesDQ/tzuo+HWvyH0KZfONaXz0phzJMVmLwgpfjP
Dwd8go6M2l48OAAbHg16XNl+SFc4bWTb7ceUOfA/TW99Ok0CBLU/8rAYyp/uVcbk63/+wW2o5LYr
fBf10C+LhAUjSdZmZD70Xc1D4vhRXlGXIW3epGUm/xcPic+yx3PJP75robX9cU0Smi3XsAfroWnp
nNDEz+GTApq87n0TzH6jsLMOLW6wOuUul/kibotBQpNEiGKMDLKW6trwhonMCJe5MFM1oEoZxbbo
vOk+SQYq7nJWPGU0g6aR3Hqzz/+Dof8CGv9lefHxgTsmwmNbcsf+/CEUgcSw/KR4wL9qkp/nN83x
ct9cjJlNUxi4VkbWvZkLWKBG28UEneDwm2V91HPBASHNnDrHbbowkxDEf3/Axpwe//6r/Ter4Kpm
RoZMTJjjmr+8TYPe2OAhnnpwyQZJoeZymYVu9JswI/Fc50Qb/v0LrjvoT+vueuKEfy7pOrhIpn99
xaKLLWVmc/swwtS4drvCfY8YRfIvohBpn9rTfWN7TKyjNOLkYw4KK96I7Okp7eEjQ3Cauw8CkLnT
TVYAk8yCt5T0KDoU3BOXS9Sya3gbkSby3AJ0vZ6FHZwNgkxP1GjidsEUeP33n4pP8OvH4pPwPdvc
uZbjg7r/+ftegkz6dTrHDxV3CUDUeeGA5Bt4DOycvnWJRmZc3dCcpiwXRlYI+zNK9jKJmbDl/G4z
nCctQ0tZqMWKzt8PUFa7Y+K1vYDeFDMFMyIXWQtSY+RhZjIavzGkirut6VdVsxnjOXFDGgFJuzUt
4mdWP0+/YwvwNIglVB0OJ9kHzrfJddAW6mwVQXU7qIhGVlA1nHowmhufxOxnd8Qo5l/NrBVb1Lx0
Ta15AQI3T0PyMbvV7IEOSCjdOvbvKyLuChvQudL3tZmQ0cMkmlOBU7VYGYH84T/0fUO/9CWA8a0d
+f6TlHWClUXFmbdprKGGpOrGDSdbAiUJVu6s4AvBO8z4yqLtsuMyLR3abwy8zcmq59Q4RXQ2znh7
OS3qIboyPSmf5nHgnO/jYGoejJEj4gYvcekidbIyxGIJR7p7Py5yBsHSSSLizUf5Eic9227GPeKj
I443XoV+vIbzSnR2bsudj3mEd1e57juiUcqEMmC1oQRkIR40u0CbzvwYWJUcQvqaWhRAKWGULQAc
npmbZj07s6ALqlEB9Kavrzi9q/nGs6v6bEwyEPt4roqEMUY6BSfU7Jh7M9l9DRAVo3q1EvNgpqoh
mq2IbxvLafYNcLaqRkg+kvf1SZDYfWUhidkG1AFfZowxzGXq9uBLK9oDCao+F7IlqXu1J9aeTj64
Uabf4z5S3QZEaMm5mK8nTKIOIlqs3W0hAJFyYxWmjWunnCZEnIYxk3fTfTg1k+nJTWP9bHAcyq6H
kpRWrN8l6c3P/hABteQGyMlNA2xdBAY5zrPjr2Max5WELGWMLkaLWPnMSQ3Y24AaZ49MAoCY+hNM
Tc/m7WaKHuRcz0WwN8y1+Fnc6RFFGle6NLABmzHmWlZ7A9t9MJKQwUEdq2gRR/lvEyl6UGtBFt0y
1LJ7JJ9EC69tWZzwM3flJglgZO/JReB3oAHQbxKq84qcXa3hqJKN0DTJ8B7JpNerA5SvHuDyW5M6
qO/8YOnCZfac98gdSSVOTerVLg9YjYrRJZJ8kS+jBTehXaAueL3HwuOwDvlOgSG8SZhu1zyhQVgU
a68DYypvjhNHdU1ZF7302A+RtAM4x0trPdfmqppCmCjPXTewPrOcob3MHVnEWyE6/iYmeqbFS0Xh
Y6GfTRHO0aPeBy4Xp7HYqTcd7sl20yRC3TKlYYlBehic47qQZ+lX06MFEJg8b4MV9bJGUsMFZwjO
PBMKPzZokfajluullI0jntu254+Xd1ugK1GM3x3QBpSdFkfqdL6H/skfiZl2mrsSJcsxjgdC4Re+
kcGhMpytEfSBQL5rWWp+7EGkvdi5sp5VZLE9d5Met/NaPc4W114QxppidGA0tSEpG1wBPZ5Htf6J
Nj8uiVhRfZpr1yzI2UXlWh7pnN22lnH9puCXIolM2/nxUigsWV3OV2gqvHdrpReoNuerrXkzkxWo
D4eoUa6FbzO6qNd5E8oxukqRedsisq/O3EZ8d9b6bksy8N7StmqOEEqmR1OZFOFVVZO2IzL9huuA
3XzOLKPZRZakSm8XsIIDfkNYkC1sSZiDyDOgaox0uWrQz0V4KXDQEAD4XVT38f3wY6978qwk4/jc
xSEbOuh9FVoEpvQ3ozuD48Bc8J74BBMd2HZ4g9qa1LIJ6O2pHdSz6EtuJLx4eXmEROSqaT9MzVoG
sfNAuxofAmdsP3LZ8h3pKFibbqA/8FA0u9KB3LGt1qNKlhTpQcyCwoBW3QlP3XiL8do/8XGqa8Sc
GDXnHgmxkeS8W7qVzXEc2XHxfFCXYw66NRFgogh2en4zKtrp3gnU3N/oMTYSJlURZ0CBtRs+KIBq
exfwv7MVrUkNHVok/i0CcCRkVj6rLEDM0gHPPxA7xj2CcMh9T4qRawrvns9/WQSyHCfjTNReEOZZ
Ks/e7Nq0eXjCtLe+fDF2QQjEinIMrfmbYqR+LWO+Vcp9oIaRzbeaWm0A1c5er8NICUr+SPRiJPN0
P80xaPqg43k1c7SKVopFYxu7PPFN0/JOLneiMymB3CxlCXAFNfpOIPQnsp78ALyoU2SNp6BavyBV
OyxNkOXqI4F48gX74cTcl+Nou2OMSFFkBXTRgNzExdNsKvfdVko8W0bAGYBpDlvTFIjn0W64yGSt
imHDOi/zDVp4/UbPlQe9FuMEbo1PyE5EjQzcGrF51aRI7LjYC1D1t0XYPKIxR9SUpdvcjBxpn/ua
v2TGzddyYaMs4MAAeK1352XbnCGGjVudG/bJDhI+++JqeS4tiPiqt4pt0/ecZNar1uiBNrkayafY
NuvbSTw+BYl4zrtGB2iHZRLLc56VPFbLjMnHtxd7j/JZBHQbY5ajNOPhspyA1ZGesItAiFuePvZK
/0jSyLPJmPHrI9kgiGiIiM7dR3h+CA5KLC9IeBrTfXfIokmRSEfypZygseTAlE9ZXeE6kjIYc/xK
Hj+d94lVPwlC6LhF8OojH143F+zY69oH0MI4VLFgkacUidcjOfoNbLMF98TlAnxfi9aD+6As1oV1
YW1inx3ncu8ya2dbmzrdHCc/nb80bEMPl/vTQc10UDQCDkw0HNLB+4BbhEyq5ui42XCV4BkO/rgh
UK0G37SP+C8smqE5GqqUuxx943vs0Uu53BUeaDhc7sAFbgnO40GuS3Gr3LXbAOwDhDOMOcjMnQtU
LpyXzAjh8tCEaFzF1CFdP5AxFtx9iDSIbHRG/ttMIdRsWe/FLREnzZFbTjy7iVeNW5HHPFl+VLPD
gDxDI6gp7XtVsdrbqbhzfWt54KTOTW0awurDDtcfileeLyfrsmJbRXDyQvQ66/bdKa6SjaqUZhAb
ED61mJ5sqIeORaGKG5jLtRFIlqt+fbeq73jM7HrmdRlbTI/F7DTeBoSzfJF0dl9il4krolis+tDr
HQh9ymkmlJPUQsvTIAIQ8F0/lMkdgA2zOjFvErcYO3gXbrAiarDHcbebgijf584F+bODYChfzFGn
Bzjz6+f15XjvIJV66oOpuLNs92tCoAl8ctUe3Rz8uk9iyzWjIPUtxhWwId+HEELcbhD+K+Jj7Int
UaWaHYl8myUEG9VJKpTZeyEejOuckrW7qdxxwXjSK3u/MjyGDVhDIlqGqTilWqsbmxRtEbJrFidO
9tOxZMI7h7nWJW4Mu/omp5XD5AE1vHcoMkG7txY+gWlqSYKp18X/CqUvjUjoO9RUvVNxgsnL/ASw
li4MnaI+rPOIePFYobcIm0Lz7xq4IdgsgvHu6QDSd7dHFpxmXfzrgRqnWEu6OgnAGcWATxj+wbCu
R56Z9aCc5dwFoy15VGVC9vnGbHh70eLTbMLIMW6daOSdTpfNJEpYtxc3rTJ8dZIlKZMavuy6hxMf
Hr3Au+cOuhwMY3IO9BW+fPIzmo41rfImP7qmn9YccXTJcyphCAEaErfx5MoXAXvww1pwb6Ird06c
wfheS89i/0QxxN1axKxWhGVYzwOvDHOCJZIspul+IUMWTkhd8kzka72po//H3pltx21kWfRX+gfg
hSECAbzmnMkhOZPSCxYlkZjnGV/fG5QHkqLFrn6uB3uVy1YiE4gIRNx7zj6uA8kTMfXKKyhf0Y8s
vgBz7Bd5w7pXlUwhQK5sUj2klVouN/bsP8Xfj4Ic4lkQ7EyAnU+is/UaC07LjGvgcYMbKN1T7ecO
o6RGovFmThH7ib1ScLb2HNiGZldzvkEy3xLd29TtBu8szienbug1Qry6wd1HyU7Cq8d3p3NLVKTx
2sBDwkkitXmx2N1o3wRUrDGMKGtfIJA9p2s5LwcvW2app8+2bw540bJU3/gkFDhrUBnmhisHNwFJ
PLdDAD8iQAJ5i8UhXtXMEFZnTjtEDKGLRUhopyCZR/J4LioN6RQyODdz1lZlDTvTl9r3trDkj8ht
pydErx1m06Fmu90nCFjs0aRyAZoOhG6+TSiuPMxWadptngdstywzklXKfCgP0hrC81AVzsqP7PA+
LRr/moiUjkymNBlXcS11Io3h+bpW4d0Gmoq/5+XIJ8lMB9CBotT1L6ZM48Sa6H5vzAYULHWV29lf
XsoK/9U9fKJ7kNKl+PvvDZ7lYxI+w5IP30gffv6pv/s74g/KOpS0MOADWpR84Kv+DvIGnSQ1HTnR
3K75u8lj/qEbHEchIM3d2xeA41/URvMPafGBlPJ+CiP+oybPuwIvbHKXdgvqW1tZFNDNWefxusjZ
cDAvKGkM5xnr3Lrrwe7R3Y3Qj8Wq7ygxy/EQDV2Gd0yPmy9NLrpbnJwDXDw3+1Nf86+9EONtQf/l
2wj4BjOHVCc90eaOvP42IoO/5QZtd27OmwI/nlhzW5WTuoApPHcXXS/aL4pWbbioUmfeRUYVr0Jv
qpVAGaayH27T6Ec+I0C1miTG7SQ1x9iOtvSejFEzhk/qqy9F4H/qqz+/MW0jB3+QBL1gvitcipDS
EuWi5twa6Liu7GFKbjvB5nTTqBEbVTdSg1mFUHE4Edvwq6FsWXi8K9ojVUcpIxjqmveiRsWjbsIc
ZH06b1pVJVFA+zP2IG6J/6ld6mlz++yuDsqTOEHztQ5rzT4LQfqln3QYfn0MSuAN4kHQ+KMB+a6I
qHCgsv1O6nOipN273KdBuUDMzNAoMhoN/VC514VnJA+vJs8HrbC3JVmpK0PBKlWWazIW+dv8tV41
AaU++KKo/ez8pbplxEHLsQ5xLnD2u99f6W2V9OeVXKqP1E9tuo7Ou3FWoJuYSqQP506hU7zBfJds
vcZBohcXwVqHJjkhNx2dfBlZsk8/GzTzoHg9aPiVpk6TU1iCbS8Sprc/VCkrpOIFNFKVsSR8vMVw
kczfQU5pjawYwcyo8+i3fVJiYCrjXD01nIr3vTuK08G2Kn1p9RERTBFYilurYquzCjDNPhVaV6x0
bUrVEjmOqHbSsnFx/f7uGb8+KJpPLBtktlJkVmLukL16ULrdykxKT8NZ6CHTrshMXhha3GRigVs5
8w99EMbffMclEG8qg40NeZlzktGp5wbEUr4cA1/ByY66p7Cy1A+oooE6/P5LCvnLQwZ6xiCi6Mra
yuxEdPb6W2LOCHUcDNYZmp1527Nq2OYDSZpVGNBf22VFptQlkEpEg2TCqGVlZEiDqmKbzGKOOCnT
qyKRKDxU0vv3PWbpPRoWPBJIYm55UwOyZFO4bF+UIkRaoBrxojo772cpCZhQ9uIYC6GOvGhNzC5I
d9S4kisz8i98QsyGRdKq8rxBp9K8KFagGHIjw9FkbRDtNGEMd6LTZBa6oGASh2AWv0wvOpheD0CN
M+jCvfailOln0Ywxy2dQc35Hi9lct7qGtgbLoNoAWmv3wjOp5QVGH289paHImYLY+0aHBJ1OCFsF
KzLinaKo4biTerc3Sjf5EVJfZt7Pgh/cQWh/ulkGVM2CoHGWBtGHcI+EOg1rTmLlxnjRECVSoSfq
et8pl90sM0prix1Q4R4praBBMoy82fGqMfFxzSIlp1HJA8ao4MSs3OJaWg1iJjfSTDQx6fToIHFf
1zrFpE2HanijQT5/NGdZVP2ikCJVlr5B9qKcGmYRlTXLqcYXZVU1i6wS8J+7DDEVtf1Zg4X6Cj0W
Bm20Wcrr2fG9KLY4MntL60XHVaHoggk26pdzDR95yKz4ihhJcA1elGCDpYZTm5SHxLts+7JJU6ob
cyLZj8ALTHP6UvfaMCc8uBVLef7dHFMMGtWibdq20M+hRBD8SoJIOW3JuG08wkJDdrEvnFhdUbyI
2OXPoisXh/5I+BkpFwGVkRUcMN6HDeTZck2ivK8vK0pG3jGgGEb8YzyqPliNQ+I2p3bdWIyoHrt7
3S9b3oUbWwsi79gxdWxMyU6BBtuwYriUWRJW7qyDB9a4prJlLzUPxQbQdg+ZGYnAHqdg5NG9t+kT
RUGi9tgVbGQ2n8mcSbJiZiYFNVocc9UHvxVFpTrUqEblfug8a22nkC7rudmQkOq0zrlEkwRxysLH
LKNlBt1mGnc1Fb0KJbUfYE/2kIuXSNvqLIQMYafjTq/rtFhKk5SGJUZw8CdVSPt1yWM177UiBbFF
Zg+ndv7StSMZVhqRlU2W3Udp6qZ7pPVNso6Dxr6a5hLPBuGaaUCqCfDqQaRF4Lj1qg5DFi9j6wB+
3ow3bcE3wCud+BN0r2GCGh+NRX+WOoScrjWmSkV8roGpBtRSsvI9y29XihhtDiWqZn+STcTLP5EE
4GK84AvgzERMXu4NNF07cOuxvSRhtrRWYR56q6n1cI6RklC4F3h9IrG0wpITdsoxWzvRZ3uMUXg+
Fu3AVcXaGIMp3wehQbMopqWE6Iv/DuE4GRMMH98qARGGJPMQKqV9rQhVGDVipWLYSMaUhfDCnE5o
1s2YwN87twt3zFcZ4QNnss14JeHxi/kDLvVrYBthYGSU5ZIsONAXSYZN3cspPDEav7kRkSkf5eDN
1SHMclTKiLGmKWJPHMFTkNYUji1cqksKduvQCMsvST+X6CM/6q5rafffiiqwdrimKV85seRQCVGc
z5FJzkk3qyjfExBmiUvOi8bNz2MnDmtKqg3twmHdmWkU7ipgIuQdKr82j6HGUT3Ty3lwRtHcjQIm
UlMuFdSE9HKWvwZ9xhfLaxbdE95gVIUIJZ3TN/q4WiGQGhA21rSMLqKK6NMr08lcVCYi6tsz+o7z
5nMuJcoYLcY671MunecTrZ/BTJuJ9E41//j5q/esT3yvuYAjZMavaEs4mIuANgnlhbhj6hSJH4eX
WaWY8pQpqZrx71hTzYYCUGmIEZ27VQTUgYK+GtqzVAsoO4VQ1cly05XOSR9G7bxoMJmW/CIWEJKs
5n1yk6V3nmm5B6cLYfQ6ZP4wLuaycZ/N1ZahoshjNQOHep9tboTqmfD3a4e3xbbOdOP8pY0hdNMu
ZzZNaB5yx3fbEy8gbmM1Vpi82eCO1rYwua0gN8vxe5zE8mJoa7J3Sn3s4vsedXC9I9MufR4nd15D
QsAtK84BFClCc5w5t3bq3mu6B6i8L/xyoeDMrseqD65CKgYnborjcCXNyvRZ9iR0sS4w3TsKOp2/
TsyMaTJpnuXuRZYb5RPnaNosjsGQWhNHyhiJpMYdJRerW/OS6csTo2pNe+m5SdPxprW6uRxWRl85
Rbs32sg2/TC5DQBgsofHepEadCWJNjX5qAGKIIqQnkj5fcFjgYxBqgYA9a5rzoZRJddRV5cLB9On
SEme2E29zcOJdaOetgVtnPwsswdxqjWkKq2pL6XdiT/2RbCEA5QGN+xEMBdS5AeYpcK6o+9U9wjB
+w5KUUZi2nXil0b4YOSThe9rYgc23oK/oHdBf4/GRqBwUR40r+i/IfzVumWiMO/sQ1c3LgcUodO2
aknZWIfTrOcOzSayLnBLT/I8tYs5TbFA2nMmjICY6JHdTb2mFclT650M/1A14crFwlSDgRqsoVp1
Camp28mB401nZYBZNuKdwUOIAL68p0Nk3EQBQlemQ0i3O/HT+iJz0btuWrNwATIjEQA2336hudA7
xiKOO3WLQI36Zk8AvSAPN3G6qxKkMLFxPiMaNoTF0+TgQOsqtBo6Y6oqAuuC6NDE3ntD7vK7hkHz
z2I4Nv0qrXGS0EwGBXYGApzvX4EH29SBEwcrYBX6fqTETdPXthUqFC9QZy+70v9WUj6ppHDQMdH8
/Hsp5bZ5DN6oZH/+gb+qKLOBBJkOlg/bkCZKoX+qKBhIdFvn+G3A+6RgwqnxL6nsXEUx5iMlB5i/
yiezqURHxjJryDj4mfI/0ci+yGlen+Qgvltz4YRdCftcwjbenjHQP4Q4cZ3xzAVMN4HCQAAwblK7
d+/SVNCqHAZWdxoyxUkNW+aHQezVdgjRf73UZOl95kSG5rTt25bGfGjQNxpHeYFPr9atBYXFOYQG
p6fe4pZPU5uK85WmxiHD/O52jitu8dq6KWyLFPqt7fcdAV164mlHN4Vydcixo9TIedhxO89Wocaw
3fVz+CdxYAqkvrf31KBFYMWdsrumIqyLay3LlbkuRGCSsBcRi3TCvRR4WmlrQfV2OyLACihzfmqy
QvtiGpsrApboG/dJeM4+MUAQieRj2We2d5MR/nUzNbm140flq2RqtW89Hdwbh1YH1gNyIS+Jjz1v
6ASDhCL8IMi99hHpI7OzTkkeCHE3L209QieRd2Oilu4wKTNjd9aFUlGbjgGIrXs6ruWJic06M5YR
3r3zwI87bQ+EH7xQHGv+eK2NRjuxCSUseGZ1FdJUWzMcAnpbnp435c7QyR8KE7LLOiSWV3aih9VZ
MRAKy1NIf5p0/rsiZE3YjJ+sCHMyze8WBM6uefX4I3+9KPz8M3+vCUxvYaGapoZhzCr5f9aEl+XC
FjYKZypzzPN/1gSDNcG05rInVYFZv/vP0oAS3zVMl1qoRF6Kae0/WRpexMdvlgblOIrag0IEJHEf
zuWJ10WSNCjwkrNjxx9SRu6GQq8ztg+4rURWHSI9nSneMaa0INoqZPWhPLXYE/VrP8Vbp5oFCjdR
+DM834mts0yjakbuMTwBlFswjMjYqLdA0gBpbuEoyDA8lT+n/8T/62HD5EXM+qDLDtovtqk2bYfg
1AAoRFeV4AOloUHS2LV0NpHNB4uaILsTizk8gk70Ov0LFksPZDnO2GK8jkr8NUghhN+rSycY2sA9
hmGDa8nlxbxIHVNLl5wZaIomMMhRalFH9EBvyJxz5s8S1H/fo5/MGqwiFBP//TX6l0/lf/Ln/2EG
tem3t72Jn3/+zxmkGPA6YkYMyX+7TP7sTSj1B29OKuY6x+WXifL3DLIcpolgsLqo0OlD2Ezjv16u
zh94MpG5MIfom5v8q//AgGLMeu5XMwiLC+98gSeCtgQ+mPmXv55BI/1Kg8OVvoNtiy/uOfG14zB6
e0JLVlmf7eBuHGrdW7te+wB9ZBERYPzq5n1QkXbf1RBfvoI112gtfrM5G03ffAXSbezCcXx9l5ND
de6Jh5GaZt3F6yyltwgcUG/KduUWBPOIhOjxwmcyk5m97s0vojOXU7DKCrafOifyMHc2DcC3QnGa
mh1rQgL7LaIVZxfe2cV3MQCfBNrTZgGk4q8QM7CmE6gqxIK0ydt6yrdhWi9qbT1Kd0cDfM7ijO3T
Uu+ycTGRQNRiqK8ta6XHVOes7G7krVUxJnaD7SxSdJSEcp/4LQWvMJouRVPP64hDuIt2JmXkLKzG
qtd1TJhOe5kEGaR/EpzhMjSXtvvFsLR17avHqeYbpBHhozbiIRuYVumiAw7WbZ6AikuXHJSvBg1j
KtAMAlzSNeqIr61r6luCwi8oKBCQCVLdR2sRxZhJSMqCWuTAhwdHYZFXmw5C35LiPlIG779nwl/5
dlufZhQbaHVCsLPhyuQTKUnW0Z+jrP/7Sv6/vJINPDTMwX9fXTa8ksMfj69fyX/+mT9XFEf/g49g
b01DU8zv3X/eyY6a8eQ2HVUaBywS8578z326xTtZx2POgsLG3MQI8PeKYoo/2O6zRLHxpxlFvNx/
sqL8Mpuxd9FzMXi9MzbZB7ydzT4nPAAGUIBMs/UbhHguNU1hopITreWSMi6rjAwdULMrF/zWJ4vJ
u64J9Spamg47FUjrOJbMd2tJWRJL0kEr3PYt2no1pvbaCM1kNaow3b16LB+sWx9eCle7TocL6479
7lKVFYHEAOe0FQaCusQE+QZUj0gdxyj/H7+KW+m+5AzalI3f3tPJGGLg1KJBOzNwtOE8vqqaJl42
g2r3v/9Vc1vp1fvg5QZa/CaBEJk91XszEi1gAgElN9BFLEdn1aRU1trPA4mAfuZhuUdcPu9c4iVd
vfwT8xFj8IOLW7zvGMXUvd/9TmLNPM8qmoYUTIGpIxqCdWZAgfr9T/z1wUkYBCZbR86/s8Xr7d2s
fcequ9JrtxU+yYqxmcH3k/B357yUFEHc7y/3rtHLHZWzuEA3cYwyTOZj9es3LMZ5E+hY0279EaxY
EFdPaLOeHZ+wKiNJT2yS135u3P61xf/rbeSQZLInJ+J01r28e6d7QRzh2svbbaQDEcmou/Gw3Hz9
+98136a3I4Wr8L7Gt4WhVFrzbX6190bWy96hjNutRTDewtK0U392dxumSXBrKj/5TR/dxddXe/fQ
kHegoJVJu3U6gl08YpX8DixSEb1QC10ASXH87fc/8J2DU748OQIbbOhyNGFpxr79hWMQ207fM+2M
wBZHkQsYqvpM6M0nZ9fmyJra8krhpEcUR90BmJRzQHa4A3SebzvO8Ot2wBBe9ar4PgyWth9t4ZJI
15TXU0VItYJZa8Tl9MnCZHzw/LHwKd2wQSLBnX834pzat80cqvc27Fuo7wLWzxwKKLu1plk6uASD
koCDbtPi7kFXHMRXkEYINrGunAPgsMD++O6RgvGfb/1/HZnyw6/G+jzPcMlf774a+mTaeTJpaBEH
ZPEEcoW2Yma42826RiJ9O4QWeRG97SarHKLrYcjgmNEXI5QlHaAMd3pG4bOeoxKh4Vs0aVZehrAz
M/2RXZdZnZv2pO0pV+SrsmuaVa9woJRN5d61dGjuSOTzli7NHlStmtoQ4QTi0aoc9jrDoYmrGvRA
wqbJk+5iSORJIOJbKqX1eSxwZY3WFG8qqwXgozVHaJnTrgxBayDVtxaDl3inejDq91pFQiA5FRpO
3fE5Hq2rhnBlguT9eNfYQXPkk7PN70frrxPEYcRaCKDwrRNc8m6wDrUvW8nubhvWwbkWw+4KHX1v
hMNNO3nFum1T4z+eklyR8j+VrPkg4r67olsN1MamuNlWnrc3CE+Gb/HdzcRpZdHMpEz/8Ptf+Ou6
DUKG1Yaigjv3Gt8tazWxABnPpiE6L0EX34l+70OuWztmNa5+f6lfh6lDVi+Wd4QN8+ns3TD1W/JX
e5RDW9fp5EmulcY+7xEt/j+uIrBqmQ6NPe7h2/UlpXSRNj03ULMrvcIs5Go7monOxe8v815/xjrG
r3EMBDFIAhSvo7fXiWlMGvQcQdcOFAfpU8MzHnAV2TW5AAL6ClsKBr6uLEQHzj19n22OAe6zZWnW
grx9YaDMo4wkwQnNVNx3z68sczGFnaq3YkjUuqfpvqHz2mxIwgqdJQEUYm9kgwsdMX9K8l5dQW+H
Kifh+6fTZB3o8HufPAHzw++EFgj3seWyZ333WvGJldO8wKq3md9me72CL6m3dNmypjz36qJdBqot
viS0HpcJkerHdg45t0My4V0HNrTKkqfEGLrzGFPeNPVfW/QUsIib4nrMgMcWTSh30g/6QzYm55re
fLa5+PgHuBSF8GojgJxJFa/fwp5Rueno9NzUYLzyK1Vs2l74tzhGeemXKlp5NWjZVNkNb6wqPdDI
fnSw1NSV7e5b6P7Lwam6Nf1O9zKfVH7jiOlpAgx0wNjhbugPjqs+jjTeFU2yQQhQfLI9MubH/suw
ePUL3o3Ovkn4wvmIwQD1/2FWAR8aOWRk2umrJqxY5FtKclGk70lc6ZZ1AX749xPE+nAU0NfQccOZ
hno/3VHSC5h1bb0lR29GniaO/Ma26kKJmkKbq//Ik264V6YRfEcrh1fAX5JoEqxiC79y59cbEzrx
qrIF8FY0AoQRmC02Sy64HQDdwE32jSdS/wyWSnVNOtla6hEKGc29h05T7YxOErMNNWlHyuOj6vRr
e+RCvnihWWHp/OSe/7p1c2xOg3hXbWnrnJbeDhppkiKNV6jellFyn3lbrMrJSpugLOeTtD7ZJ36w
bNM6ojrLvp4P1t+dk+Bw21nForOlgPMMrhzfg9FFC4HG45MrzZ/0biRxpVkmKiiJ6O839qXnt3A2
JSOp8m9iw/Lvo2Q2emIIIUtnjGm36rbmHDwbN+rvh9AHb19bFwQ9WPSodDbeb+8oTG/yqrAFbls1
fkHleDGo8koX3nOimm8cee1PXlDv63bzmo67nkK6AZ2DIPh3j9DttHoIQ4Ysx/DsqrXY95DitRoz
gjOtbnqiu3+ThwmBpWPB5kY44bKrfYDH7FZ+/9M/HExgcnizUL5G8Pn2p4dt08mgY/72uIZXeqEA
+yPPInMh94lBip5/f7kPXs02nUAes8HZm0P+28vZWC58iuw8ZDiOW78wvOXUOsEnZ8QP7y8QDMFI
4vYCTXh7mag2fHg1Rb3ljFwtnW6AYp9F7tL2HG3fo7QDdw21lxCYBJK6D7quMxI0XdrJNNmfrZG/
HsqR0HIq5FCOJl2+n689UTjkE8Oet7pGX6PrpJ1eTWdjR3y0nxraEkonfGOFdT6PW/2TafVeivoy
1tgNcbPZtyOzfzfWGr9D1ZLppOYYIvhWqGpOkqz85liDgCa5xM5JAM9bPmChjbM9s7PLRK7ooABn
BvwXxMteG3uyNSzfW5hNA+VA+p8yYz5YaBzXtm3WGDTOQHfePrJAc8JRZna5tQev2rQC+Ymo8eiy
lw8/uSUfXAoBhwDySwsLptG76Q40uSa/WpXbhjiHZ2GN6nLKgrRaaDbsjt8P+A+vxUjU7bmk9suq
VmTF1BSOKLfSDKtLWvT2Jh+x7URVQxXx70Ljxc+V8jUg6oNFjN0uZRG2iCiO358bzcnzwXdzpdAi
+gtIQHENadBc83ZDJjsQ3SfyYPxk+fjw53G+BkllG4AB3j0139czNMOy3CKlwtEocUmFZAatKt2s
P7kUTUuGwLs3BDsNnYYhLUOLFevtEHFi4g79yWCIiApSiz2ODdr3QPTTCp1YlixtHHErmz15siyt
rtc2nBzbYU0mjpVepo5kcoUWNca9V4/JnVl0SKsqAglbzLCJHS5oQwaPOQrhs9hCYbTxgwTraJ0B
KFlk/CRrCUqa1orbyd6Af65b44nUAhdeAYjGNWryIKLfEBg3dmsitEzEIM1NZKSDvbbcIjAf3N4I
0yc7oljig/HQ7eBkCCqMsxUt/IAQxtwY90lGdW2LXjEVa00vjAMJKIO2rfGb1+cyzVoH9Hg7epd2
jc5wwz9rPWIw4AjDohVuDF0dsZx/5qhMqlUrLRKYW0lScqcB/DhUmZbvjIqYCbyZlVkt3CC8SyFu
z8EOSM73yidDZOm0OXbDEX65v04LZLunIP0VOHbbLehH1HXvxitEW+OwQnPg6ScpYTU6dQdshauC
FJmX4FjHfFQorWh1es1AyqzIq2si0jQ129ui8aL3FOT1UBC0MWqlq670PHX8NX5Pv92ziR02pTO4
IRQIH5E13d5pwlcaudus4hW1Try5/KfjqosXZS2d2yggvGVI0nxOEA9I2IjQNO9Sp72kzrtp0dHf
e+BTHhLN0a+azEaQDvtzp83RvlbpHttk3GRlvRkClV15BG91IkA1igx0C9m4X8VuTF+r7Q4WBLSl
WdSPEYnjC9masBOjwdqgAgVOoPVrOk4136FSW7sm2MQVob0VEOEX7JjxvWJNO6lFMXxTDfItdNRE
oKnucSptueusGY45jAsZJne4o9bwiMoL6abV2tCzkGgqTKatHhonTpoEZ2i5CbFTwBhr7O7DZMmt
1IzLMJxN1+OAgAUiynKI4pZNRa3AGQmsNLWaLrE17stGNAvw7pK/xceY6tLQi+qALsdcTXpMIEVD
nEYUeB2GpzjF7QmRG+DqheeIK/SVmOR7JyARtJqW4L/blWeO5pwco195flJ8hTuin2aBIl6jIV9o
0Jvq2dbKbKk1ODEcCtZbsDgSGDFSNEVY/N7SQ3Nfj9gSKVIcTCxJoSwMsJ7jQ4qS8wFT/w65DZih
8QE1La1E3aVQ13oP6UsSL5ZGZ9+1Ktt0c1Avou4bVATeoZ5DfO05zlePCPZN5ohfMYf9BpwbrsJK
6y5KnyjguqXN2Fv1aTPHBCdzYPBIcnA9Rwg7FmHC4RwrnKVO9yxq8kVmzy8VrvhnCHH7ZyYxO80Z
/JbPccXxS3KxyeC5T03ASSuFNZPcrjnwOKLb+KXg3p+XcxxyNAcjQ1nZ660/Ip0mNBngiXPC/8jX
AxNi7UlTjvWpM/Z+X38Zg0rVJPuYnujj1YQ744tm4DAmKQl4OFLTYqs0M/8+KNCbOyvGvrlKnYrw
1jGnvw1tyW4Adiin8hfJ2EntQHlWrynSliiFK+7UoomzZDUR3IKtNBouXqAaXprF4b6PwMRKJPrn
Rm865MMTFQu7mmJcENb6N1v32E+Cui3WOFyTk4KX7Hd4776N5d3HOtQTt3WKgdm+Fl3sPbsU91vi
I2xkhwXyihWG3uGWPlP6XBUVEUJjWhtf0UxXK45o8kjCOGQPN+sJjqrHbcOO5cYZRfQF4jztXS1B
cNyY5WECsrcMhwyslLDqe6pwtEGimvxIXC6MhMByywcCYMrvZSHiTTxo5YMqzXAXoe4gcAQV8yZE
qHmPUAPkqsp78pM8mTardqqZHImpSVSrIqYLa8sleBRrj3Y5XilKyGtOpW61iTk3pQi8MDEtmtDv
7kqvn9XyMoSV4JJ6GRJQKQh5TWkN7ossSOYxqPUH342Caz0NEnKyqha/B7dTu0NjzU9UsxnwxCel
chfZcXfXwVboz3zP84+hUzorIrmns5zY+lMRoLVDgxtuhR7a111D9seCnUh5gDQUHJGuFl8p3SES
63J59Cum6jrL02kzEQ+06XNClraYEv0jgbedWhYykEcmUcmk4ulShC8PMaqcowqC4ls1o53EVMGg
CbnfYRSP2wmd8dYJuKlktY8nGkPzspBV8U3OJ8xlZk9w08GlhFvubLiTQ8rHanjpjEqUh8KI3NOp
q4tvzVhUD13AfZ2UKr/nhk/40tQG3Fb0wd7BpxqBMwY7uNvX8iimEtJcl7v+cUABRNyFDdr3B3YD
QchSYfaWoKPeG954avBaJnEECNFSg4aFbi8LgEvjxfZgAeWAJwpjlMdQ5t5tYQf+uS3b/Cvm73jV
AEEBvoWNySCAlU2kbC1zDVahPIyV7q18vB0nVcqPB/s13DpaxLpI6ijofv50oWv+sXVLuPaBI9mB
Z7pDx8Iqk30Vz2aBxqWIswK37B3AVfAfeJ3rgJbvk2YVTQWihol5Thkrq+/RRo7PjoK6o3whl543
JnuD/AlGORQu2GF4EK7DNOjukEe0ijAfvmQi9fjKaaoCTElgX2vuVCY4GfvgCPMpA/+MIOshKWEE
OHbd3unFEF8BSRFHk4i2UxkZ3lUpOi4Ua+PGVWo2Jmh5cBQ1d40Ak/GC7NXxWZ+Aa2gD4v4FRXvv
CjeC2MMiy07JFuIT8ym+Yss+3Lo6HZmpx3VxmBBxBWstJapBFZT5ll4LZ3hBvaWuFpmtkWtiaznW
FEHAo4ZN1PauRMCRa1G0ZHjt064jLTtoGUkT4VIsvbZgpLFmBcckjnKDpLMpv9CsiCIu2kmetV47
QbcH/OVkS7dunnNH48zU6Wm0LNO+fCY9w7gTPmrprq+NJ8K5scox9cpLVovpOTejAjiaCTCQCHvZ
PqHWJsTYQ6K+04qC20LYKEgOovuMaoG2yLiZALpduQ0M11DZ3dNQOOVl42UU/kuzOG86AJZDRD6H
0Tj+0bPLcNu4rYPUycEFRSQDam+H+Z3BsL4vwzDTLyuNAGyYRcT57XMMLc/sqNUZZ2JvU4D0YRGz
UXbCqbBaGsKW8xVcUoMytfC3XZJ0O2GnPBpem6dWJWIgzcoPL2xRFxusofUtYBgMGFPw3BCUvSlq
sk9WXldY36Try40osJMUIKRWpkVupuwse2twvxZ0NMUqhiNcLPCbjVdGWg0XL2yFGWx+Zya+WCZa
fo1g7gyAVkgvUg85yxC91+N2O4ccctDboDtEaVFx2dg+6j12EaxQrBsW5LABIuXZYGvFMSPG9Nr2
zHzvDiEpe02YTgsjo9lYwjvcy7A5dOOYrELm5hl0gOo081V2IG6XhAXTYgvo0v6jhProAqfexwrI
TZx31o8OtHZJlhlLGsbpCe7QOrONYjk04mQYInHPfltHlzPk39x+7jPl8NCpLO9LEinplgVsSLso
H++dofev9CzoN2oodnZOAJzbaxgHwjLfOf30SP0v/QKfgXgP+F89C4zwWeg54SzVOJL9FsVxvY81
dNCdp+HqTkWxqbHFnARGW6zYocI1cWJ9C3yovm5LQqmt3vWv2pqLtNJTFy3uiQWFaXREsLgfcUTZ
d3jikl0YqrsBCeaWcmnAPpCt3CIFF7vIwz44Cx0KN7lh7j1rMr4FutdvOkfTt41pTCsnbK1V3zEZ
6yIABk6q7NofR/uEzYW4j4TcZnLIN0wnFuA84nTq26W7deF1P3dxa94PhTDO3dSdUC2k4qYIhmg5
sIfdSNauk9SrkztDKnU5djwl2WG13yj2hYuKzJe1PwzFE8yHxFwWAEvOy4hhEGaJHy60IStY1oqR
EKM0qpdDEVV4+DAggi1ctoqEVpMIj0dg9vHBRz7XxGVC/qXQTvMxGi4n3bxv8OttmIobfBXRnH+A
y5wksPNUSO8WxwrbDNFtYpZAqOnwZ64cvZpWsM2ckxq4FTkdwTqQCdkkViWPaSGhAAa9a9C0SEiu
G/PuzJZAgdijaTETzs4OhT9E+PSsOSgowky5qKqMY2miQZxZ0EPrzlyviR5SU9hbaVCAp7QGhquc
CkoabagBkfKs8nSkmM2pTpFeuWirKD64fahfgQA9VJCudl7XLDsQgWcvUOA6QwFXixwgFQ2eRdbX
DbrYaFwQQrkzBs19cOmZcs55rPJsdjTKaVmC7J/t1oGzwN9jPOAhq/a5qb4Zk/3kVXn5lR1r8jWp
cQlHKORuVYLd0upaf92oNr0cbXYsyViRYEre00RwEf5XtkPDDttaFx40K+/FqlN6TcRtbOCLy4Sd
H7Xenw2Eo8qPlG9yfQEejowGqG4sQqQSR1/TNMouzdJJL20gkKADRxbQKOibH0ltkkNbR8GP0tMB
Z5qwTI4lKoCDJCLyehQmcJKKHc//sncey5VbadZ9lY6eQ3HggUFPgOsvL30mk5wgyDTw7gAH7ul7
gVL+kWLVL7XmNVFVhJR5HYDzmb3X5ndLaXLw3xScEhrklqIBJbisQGxOS2ZnS6FjXYoZSB7rKDUe
qY/pTPMysU5xPnXfiGmGE6c6hgjdrMofOWSnJOiWPnoRBHu+5e/Gn9rCKte1U/Ri5DAeQytKNT9s
lqj7ptlARImPG3x3u+R29VAQxsePlCDf37lxP9Q7yx+ZaKBh5vJIDGBGZCkV9UPiKOySkMSiF1sH
H0sg3AQMys383N5YoFKgJ5pEMG6GjneJAQy51KZCpeWihpx40Sy1qu6cLnZP3yiqQScDsBnxIVC8
8jcvmocH0BoZP24Sy5810rXXEgAiFMULzZR/lSXCqjaOLClai4jMECzfHHVhMSnS+OSQoNNUAJQD
XJvlD0MpXhWMGQiI0TL9l9+/TJv8I8LbWU+m4dKtNGUXlnQd0E/Ue9O349BsMZ2HzIL46jElVw82
+rFqX6QZ4x6UBSkNZj6Rq6EzBboxWnvSd7292OdZ9vWDPaKo4Cdk3xqOUcvny12beYgkfi87d6gY
hn2JuyIhO6kffgwOs9FAwchMLg6IzMd8Hox9pbDSkjjh3uWu30YhCQbiEVdYNyMxBUd6Yyk+9MEY
BO+Rqpx3nVYRP56DZUVj/0cKdshvwr3L7D+ZARpZfIsDgCMwoBXAyvSdBMab9a/mbui+p7i0ST1W
Evem8smBxFOZkv9RCO4fAmRtsRwq5n+nERyGCLgOqejsxGqyI9QdhiiS3UrGwyW1Jbc6KHb+rMb5
FZZKrOkmnkJWZQB3LW6SAfxtu5aQhVsZPYBLI/mkZ6S6tEUtTuyk5WEslXlXxt50hZYp/bwsyfgJ
ctfw+xrsPwL3vxG4mw7yyF9Gw5vX/vWPOIbr1/L7//z30/eu/6/PqYzTD9idP/7kT227+xvyIsdB
U/puGDP5S//QtnvGb+ykUL3/YgH56RgTiFSJoXJxbjgoq9Yh7E9tO4p4ZO0oKknvXr1e/8gd4ngf
Zstk3Dk40zByuMgNeJcfZ8ucPEWVxcmxK111phiHHkjD352xhlvMVnsOuVyZ+n2na0wGKFBEOhEh
KPTxwNOUvPMoUu5O0n0/sInDoW0W/ufU64t94pOkZqbKr8818S075ZQIMicCU44kGLjsHzIVLSH1
ysj8wrMLG7qL7WwGf843dlNO8CZh6Xq5GgLJEBWjlxd/0its0MRrSjRKTsasd/xMMk3ERo1586el
H1YvLPPFdFiX41am7uKx1k+kY3ASTGi3WXas6X/4c9t7m0Pqij9C5I4U7rBvau0ujZqs21AOjQdp
tvVlGeeKFHZTPC1SDucMIMtj1JB2OcsuuTV8XKXUNusnLziNtgQYpJsU4PEOf89QYeyey4c4Ie+d
Mr0Js45/TfSlfgYJ96nOYfPEXj9cPGveeUPRh1or6k081CQMdanVP+RN5t5CTjDvImA5HDYO2FnW
G2oNB/e0ZeMrVKhUHNaWWTvJpqzbNrznnPzq3oJu4nOeaa4bRJP5hHW8OTBoB8DL+FBXyQ0hpAME
u1lYxcbFxBxa9kgGMowB66rXAAkymUeT6TlLzxC3P/hj1X+yujmj8koXfasNBvpQIBElLrnK5vew
1dXiGYc+E88pz7CN4rNs86j/HFWzoB6Sn+Z8tkJ/FtWLHLP5pCeNywLaSzZ2PhOgx/lXZHF8Tz9s
Ejvl1sXFy8r2Grd/yVddlIkbNGXt3MSqcxjTatEaQD48RzIy7ua2zrZ27ExX89J87w0znilbFme7
HjW3y5h1pwmUm8wwDSBDnq5Q24EQ1h0my5UW3elm/yXGZxfavZsfE0dG8XnsRTHcTZzt7auM4+5F
jK36QSg72QcUl+csbs0HBtRYKOxKXdld1zphP5R8ZSPl4UUZ4gXAnbrWCJfcGqP4blXlizuOdcc2
p2qPQ0ZCT8FK6YaDT+82pZzJFILG/bhoigneEBVbp40Q3S1AhsuDsJSd7TjhWccU1Ti+JPFSgzOZ
oaFuO63tJhDnknKXX3mLh6vcQnwdxN1QLwUjtERcNWwBAAHr7DeGxrgdbf156fxnIUl7EhC4pEue
5cF3UgDJlpu0cg9Jw9iL2HCe7Mh7jKPmu4DIierELZqtRP0NxBGU4U0CtYbsa5bpDDmMQ8wz556/
IQ5cpN/XXZue2XSNx0mHZs7FbCFtVHE3GpfO75Z470WTjEMlm+cSGJW6l/3s8pY6CBkquh0UcizZ
5g2LXfK/u8GZdnRX+9kyk2OeL0N7ZyyGVx5Q3pbwMRj4n3NTZDmQqqYqgknU9qWzzWjrmuQrJ2Wk
b9umJ4TRJe5WbxzvyZKQeIJ+OVfgTw5x3yXY2iDqRY6h7ewIoqQv5nFHK42+diryL5NtzpsSk8kZ
0RArlL5krIrBE086ytKc4cQdHPh8yxBqCBwsp6zKc4sct7I9ZTmxh7VSxDVZHfIDvYwvI3svvoFs
WQgcEPbR7j15YaCvfR7jDSlXZyXyeFMWHW1Wus7ZJ82kW2rO1DZfjGhyNjUbuuO0RMvW5r86M3eq
LzrMCxIeLG1CRVe3BjR6dlbuMXcGjyeVbO9MX5qPqOQSMiiBASa2DkpgbpZ5H2n01KFf5PnzAm0Q
XYo7nm1LBykkh5ciJz0qGVQyMb9gBouoVQ+mZbgulnj+wcyOLNjBdXeJHTMFdNNG7aeo+2oxYdlQ
3LFTSpxK39SGUEeyLAuo0ZG8wqLzwsHi7BA/DYeK0Rt3aVSv/JBmHB2A4Wn/1ag4bbau5XZXlG/+
boj1h5gC+WBqpTinwm1CWXnZvnCpdJMFNjV1YqBzwG4rtybrEn76wZCVOIrZ1aEv5MnRGa1pu2au
nJ1+RDRbS2/XNUQ+KlSX56lyU9jYxX3kLHPo4kPaj8gGPRLe0h8K3DPILNezgKTw7B31odjgU2sh
LOvMRSD8txsxmbdSr0Otnow5tLlFL0kTp9epmDxgTw1J10vuw5ZI9RO7HDA3qj1PZdluxUKHY9dy
QtDQjBD5i+YKdgzGY2UlR7n4b0BdymNsy29QMtRW5eMb7m+1FUCqUbdy3OgyOXqyiw9YpM0NicDX
A1NFmBLmtVkadNrs7u5GKy13Uuuu4zm7V6LT7sYkQ63jIAti1crdWFzHLlPryckZbBCbbIvAGTpn
ZzOo31i5jw3NHlSPfniaP1k5COxR8b3etyqNnRMsbxjXcyfiemtwcsoA77PJsIoJCQ40a6xnsXWA
r6HjiHz4sxjsfO3L2BnTDMIO5vwmtTsjBD9bIdWZcr0orK3b6/p8YOv5YLvSyTbLgE6LZL7CIkEA
wnRYE1kVGBlw60DosvzOZmayA6GW9saoDS3ZMKhYnsxGTU9lLaaTSybrWbUVErBZG+nbS3dyQp0Q
4JMAeMSjv6j4DoakP8ylWLZ6yRPTyzXndc68DJynyk6D8JUZICUgHR26xakUZQcZyN660HBJ1/Pi
b62h2Dr3o33bzV67G71W35mSJNugBK4R5GCmZZDPpAklIo4/W3NEPGC2xh03cIpXII51SOViDRux
2CoYa4XLhtNtAaVqNeZZNqpMtr0hG70juUIx0+bkEju742wLQAd5JCS6CDGXHLbt3OkVEeReNyiC
0md1LpJcO5Ki6lD4Af/KA/Q36N5tFlph3S9tysYQAUmNzJmgVHSImzxuxXNnZ4m+YbaV4dGV7T28
9pUZAnmQaQF7d3aoQGPxghwWPZkG2HITyBPBhh/7k5z7J+ZUPsJMn5S9zMMqUfDjf1nM1No5nb03
+4hRVEo+JUEMICP58wTkdbU5wDHSxgFlVUeON231tTWv3FgqIFbWpWMQKpFa4imKkjW5l+YtjJXp
AaSdrWrgculFCEiu/8LDe9mafEnn2tffCDLOubGhugb8olEbFLmYgbvKPNmOvWJkI5VthH3PggUv
YlLesN729NABHrjt7eTS2GOz82GgXaGRJs8x8Zo5JPDKvusKfIrbDhz83qpY9Pn8aCePqfqwKeAD
fpsiL3nxqbk/GbPjniMrqUhLmQf3qhOUZpso1mP/UgrbDI3Z/dKX7ILmiGGNE9vWrtCWODQmRrGS
1BIZghpzns3GIn2l8yBUp2hmOUsM/1JkcPsMWFhh36b6K8/T9JSOmg6113K+DEPezWFOVGK009o0
gWInFiOI+1Lu5qo375Vem1vgSdW678q35FkwbJxKtbWnYQBjPIzXcxeP9x0Z8ezlxykkPXjVYjXJ
69yOgDyNuoYoldY9YGq9kdvWYFhW1lMamNhBtpqTODsaevcbWWHTFSlgyzWMl+ahGcFChDzPsx91
r3ePfiWKL7EuinhjkxNwqmfwXqlbiJNoGCm6XK9n0cbOnbn0YziKpj4ai+AFWGEHums127lydWp/
JAHQBVVYuz3yrLwoq93oNPY+K7TqyMycwapfjI/sGk2COeS2b9rsJo0JiMmycrjOXNc485AYNtyA
3CzuYFCw8OQzV45EorXNNi8zZzuTAV6H+TC3QV2ybsmllZ0hykRbAl5bCqi++IrNxl4ObpGM5Ejj
NYNCOn5zyikh3KDwp8tgGKgiRmnVu/em9j/9/9/0/wAb/rr/P5JXUSHk+JMJ9fc/9NOE6v7GnhH3
3JoMTB+/+gT/aP19/TcMIY63aurfuRBI0n+2/nB1sVSwe9QdsKDvHJmfrT8+eYfjjfqY59R7RvE/
sLVj//qz0gvnGx5XHyOjb62yRX/Vuv3iTkud1MoKvUtOU6uDGRobelEbnPq5aV1wdRBjLSQzmf/Q
5C2bylUjGHHoejaK2a6v24PUS8TxXl1wpi+uxQVLg0FkKbfGnWKgZu2Jd5i1OxDv8qlljmyHbK/i
LJyjAp3RYHSwrsbS43Eaoe0JFMeohSZCOVd+BkQw6IC+HBd96elIIeVvl8I15XZYXY+wFWvEJh30
8MDytPbNz2b3q1ckw6b3fDYUi4AAASeq70Lo1fShejxaxpVv9Mmm80vnMhIBFpSDuu9QFuzcDjF0
MBeDMDcUsOlDk2Xz3ZSI/lrGRnlfZiw2tu5Uk5KceVNsB5VN8E7gZM19YTcDqzcIYSw550OMNetk
NBIeXeJB2TEka+E6rYEU2hD2uoTpeD8aOeejzQPJ6l2D446HYWrK4kE30LH5ifUSs5C8Ab7hb6rF
NG+VkcnjAItjk+gGERFLt0HD4W61OSUKs9GKW9PVimuzGu9tMXahXRRs6xtyCb+yn2v2FrbUUDKZ
PVOosJBzpvZ+kKbL156k8YWhuXU9JhWg/V4t6kqMPIDr+jpqZPkjGxyKa+xdu87GhxJzSt9jkv5q
R1G90YmQZTuctKwt+AdLiiff0tbsgLLi6WSfhpEYLBcFyQMMIPPenPzpbDbueIt6BXlCnrxl2D9f
7doZN1BFzzQ9M90JDHEHvU0gnUajc53Kh0LmxFXnAIENkxCrnm9krdnvZJH119oEbABwYfcpp/UJ
LKrF6xkN0aahZt3qNu9UYxW4EUMUPy5QR8qg8Ci+YPQwIlm5fKSrNY1+NpNWnGahvhX898wYrOKO
EG1G/oi8/HsXldSdx6A1WGSURcGqlbuGW9iHWTNo+5yF5J6mvbqnOzbY/6r+ChyldZ4LI2ikyQnH
ZX+pMSg/D9JFdav1fXKy1moJVUzRBqY5WJs2z8e9ImiAw1adHUzhJ5E4lwGQG0sQh062ranbvGzS
DmZVDHnQcQ0i+0I4oyKtDxnXfNa0gojo5R7Nr9hF7tkaGP13bfVlHlV2m5jyRutZ8s2SjO7Cutdb
UWwrr/naNa57LLP687x6NwqjeyldWewYd/dzWKYGrd/I9Hz9peZvGpOAoNaxhCxKPFnKn8Jh9qND
Mw7aZYSas41UE28yYT3zMOxuDOZ6O62TNbb32IZz1lmfLQQGKOdcBh8RZhbNNLittJOL95HYO+OZ
JXW7VW4paeRag7XWaekZ25U9HPseZ2GVXhPcDCjN8elIrRIbZAYejuyJXT5mU2jlWXcPwrG4azw7
ZtrC10yTZR7x0E135VQs+6rP0VM2DeC4fHIulhxY8JnjURJtnpPo0Y20Rf1nBbz7oLWzfT3Co4NL
GdSdNYqHivCtwt+0ujSy2zkazZIgb/uagIM32Fz21nEWn4D0udlhpabh9dLodja99MZOutfKaqyj
zTggWCi8nGaw8UBL0b90ko+MKInhZFMY57iA9oGNhEtaxAX9iFWg8EqK25nHbpBMK/GmBtocutX8
sihy0YaI5/OguAbTeZpf/JlejQWzaB9aOT1UgsllDHPnhsQ1XLeDX6jmNiYS+mg2kEj3DdTlJihs
KvNuyepjk5NoBqK3x3jaVP59n7k/mlqMYWyw4hkTr0DC4EHUROPde0HjVGUdhXSTijTKmpEVwpjU
0Xb6gijMM/pyNyds4Xi4o3Wd1GeC0jrdOsxD1Z/KSiSKs0Vrv+Yae3xojxnK4ikZDecmlx5ynKye
vEOuvGy5mizp3E0c2A+mjLhF8pFL7yj7wf7S6ak8JUsJNRHbrv3Wc/Wnoa7aOAl1LXItxEqNe9+i
VTXApwp5YhLhndo50sCkZFUMwKg/zkiaGW2p4gFZkclEakBcC7aYC9dfxuQZ9Xm3HQyrZLoaJ68r
Qc6HRSRxNsVzb13FpgR0THGJVG8ZMUgPDbCT0RyGIUCHqt01PNp/VLklQCRYxnjph667nSejFWhp
ZoY2i14R04HSBV4zxiD1JNg3v7ZSpM+cyXTcbIQunbmUN9Fg+z8ENDE0l0Vk3mus1J40gIrXJQEY
mAKK78StOd/syrfTIE3MVqFTGIptjHz2aNfDkaq7pD/QjXkzEzxYBj40Msr2LPE+q2G2GZp2xTeN
7i46lcpAhe406XgX0Sl85hzxt820xDuirwyNutdtIjzcehIfJRDEr3ma+hYPI/LdUFEPDBZawVU5
J9ptmjmgYAyzlM8oNPNrs2jimKu4t9zQ8Mvl6Ks2/2b1bX7fjOxmQS8bYQqd/5jrwHZBtXOzNgBp
bpbWZC0IpxJ4i0GzWW5nwxeXhgr62R7n8TtdVfviWcgIKi3zcSXEfoydmVb/JPVsuEXUzXLQ7KT2
1RIzpn3kANiyEPwQyoM67uBqY/Pix1PlMbCJ1LHRe3PcZGnWzriYy+ypJR/dCrza7O8zi/wzlBFm
e+30TXHknmOByFiYJnC26H145/7WdKV4jnzyT7ZVKvJpow8a/OnCSu8Zg4g9m1o3rJSqcHZ7Vrbn
8ZyRAIXiMTRzw72ax75lmN47G6exxGYeVLcpDC44JrTL6mG0tq2w2xAFXr9FOe5bAR6NO111/aaz
bSKmtEGhWYrwKE1u1hw714L0yphDPjPG7KH1MHHXQ5xF9Zd8Nppq27OIblG7tct3ZPLmJRJjswFc
8WbFif/JTarytWaavjOTglEYj/gIPPWQ11qIrp0noj3N4phiVrn4i+W+sNUpDk3S4Nkh32RBimrO
5ps7yuTcR7r52e+TBNZnaU5W0MqhYzpn1AeWoPzfHNyYd0DAMd8DCGyHcDIS/XXwoR81ld28xFbU
39l+D404mwzxrBYKyG0sRsW1JDrGtXR93/zWaFlplU6snbw6i74gLK4+zUvvdDuzSqaz6tRMdJXG
vIhsuRbbqJkfGezdCuY7X9rKZWo2bIgvGxB6aNvRw2VORKsP5cgX18pdIUI+zLWN7TfGDUIHDUox
U8QW8FoT2HKw3rDMGyx36ib+zADAZcRejigLdc3UGVl2qUDFE8fXXW8s2xFHytHIimG/WHa/WRqz
YCAu1JWuJVtHMeZKMkNh4FCOiyMCkkAwdBW2TGBqn2Lbjd4cq452Qy1QSvNrLl3YwHy/JMaUH2PK
LDTKkS3WlKsYkXKcW9m3RuAyh+fEPxqi7Xi0mOOFkLbkqYim4jG1RUJIp63RH0TqSjYT7HkdTsSZ
8YEfxoIasRzjk4eSsAOn3KqDl/owpOAT5F86zO0ySKIRumOS2n20bRrD2bbRspxzTW9OI/v9Kz5h
cWVYafo1WtJ+xyy4R/XbDjvWDdWxLWJzY+TLE1FXowoBAcnX2GzdW7Ntte8AHeXvRJj/dMl/0yVj
oPlrDtxNkv6JnPjHH/jZIYvfbJbOQiByQTOFpOT/dcie9Rs4ZHbmKCY/gN8s/TefGOx1pY58EhQT
DqafHbL3G6HDgn02zxj+OC33P+iQP5r68K5hoCQtx9Vp4qEmfTA4EuIVDwkJE8dhYnS0MTKUs0nR
RCc8kVhIZ7t7IqV52dHqLTt9nKKTV/QEqBIR8Mmmkn62nKx7og/tnuIJ9cYveoN/Y0VbDXS/GLXW
d4d1yad1XdFUzrs985f2HWmqjPTRt444hupXpCbTmjhcXaH7Q4LTEgKw59RY3eB1bv2NTYwAiw+v
Do6BUo6WHcui58C//PPwgGyBgsTNtD0Cz/9SIm6Fuoq26JL7sl4PINu9ooxiVGmuU8vJ8lMULDJ9
mZZq+ea+jzdZLZmnuIi7LayrYt+/D0JlWzt3hNlwMk7rpDRaZ6Y6mvqdJRqLpkuRC4nYSQ8thFQ3
CZvrBoXSoIcCNTmLBsJdNkpR77HMYMgGS86ZgiFzjGdK3Zx6PUsCZLjEua4TXgm88D6puoqN+joA
1vp1GBy3vp+E/jojZuK8wkqkBgrefVTTwiYBuTvzVddpqms2HDHeg3XkLNfp84wYK8zJ3Aiy9+H0
4o4DRfYalUBoPcHL6xi7ep9oa+twG4FRhGKLgTc0embfqShYOon3mTg/gIMVJp8prQtnj1I2DTVq
Q7TTjtHe+0rL7sgDTld3CyN3pEGs/ipXwItPYESMOJ7THS4nSqCUW+meSXKM9ut9lr9YSf+oqxp6
VO+O6sicinlpZVT9PTpedoC6OXZRkDq62JV6TmxQFfU5SxrbaXRta8WLea4mSbUax6kxwgRnL8j+
hDVEQy90sJlIYv4BHhWMtv3FzWYPRaZT3eaVhNaPZRLVpJ1gDXpfdcSCBkLQgiMkGe1bmmVtzx6X
7UhiIPQU6c7vh2HDneofkVSX94vBAjjo1x3Lsm5bPNb1ZL72zWFZdzF+0bCVSSVwvt7oYyxPGdPz
kFSJiUXOutPx1u1OhKbuhGol+mxySqIGTkb6HddOvtPUDeR+rxuitHLL74Zr5TW6wJZVg51WVMR6
zD51fl8ysT5l4cS995DEdAfXBLMrDvOMMmJ8YNWUTg3kkqpG4GhGLWAE7FR64DV9/q3C8gUHv5fZ
3hDMdIGNA6EZiJbl/MPXOohL1/oyfR1S1n0Hvxos46brZHRa1II+UoBY++LQ1iFTs436dWESoRiK
qElyV7Ra/7WKFOQC8iZaFrt9baXbXmFO3NaRN18G4JZz2AmWZ1s1oBZ8mCFIzLRg62REg1AeoW6U
gFCkIjL8Be0jPW+uVZgLfJzEWLzHXBwWmimOgr66ksmYNptWmPVrVxOMp8sZWY/G3v04511+z6h+
fRgmfP58SaubbFHutYGbyw+xF/Jqcv1s5FnYDzJadIZQdodZIGE9jirYoQSRKYibLVh3uEL1tBzS
emyeyRyun8cBMU7g2wOTEHSnprfthJq0QIlJvQlyE8SFAsgW1z4NOikHAK9fZVf49obp2bJ7f5T7
fPIEPYsytn3m8RzNMdBdM8NbPhcd2aAM6kcAR3BiIiMir5WTQJ9fbaWkaNZMA8H/5DEQT66jWY+t
jNnIMg5fmJYUaRdgcahe1dyXXDpy6c61XJzrttN5x6hkao1lb58CftBks289o7hZYQUTOexk7gYd
c887NqgGnC1UQAFI7uKG8NGW6RXiTHsDpGM4TqwrjEAMfVJelZp0Mx6JlLqBUTJlgK/hDdcW3X8W
0AxHakOylfuiDdVImZnK3A9R/qzbeM+ZBZPB2aMYa93xuda1+jpxZp90cocVasTomgIRh1A+dvVb
p/efzGl0juQEZ/Ze7/3xTjmFCTMjt6IBT5LX0m54aTmw6PGZCthZtNORMlwIO2ChRqR6dZUUo3w0
cjXRs+Au+Yp+yslgT+nJrh7zbWaw/w8L3Z6uLLSUhD4MCWt56vCgb73iOAH4tbfeJBniaUV/9Mm/
cQMuIKyJnDNkMpj+vLF8VJSB3pauETpodbxA1QbQ8rlnbrJnmTjz9BscQuZ5joNnWNdo07pQ69bV
2n/WK/8nxKcPz+mXcudf5JVXtUq79LXCnv/9/S88fvuf/9Z//1M/q0cov7oDXI/iw3IpRBBJ/tyv
wOJfkwmpHn9HcvOvfkI+zd+EQewZ+xgOCt9Ytx5/VI8GfyF8bMHShlkAKqd/FGm40kJ/rc90gEOU
xxYlLEUuBeuH6hG3+qjqVJdHu4rw5ZLxpN+LpF0uPCaaXd1mHkjFxhVvneZGjwhh5HFm5X/SZMpi
QxpD6CIGu+JUr/Y5pIbQAJ9RBh4Sg0evQUfgJqgdtrXo/VBPsukGNYv6nklDv0KbXny2jLYn7hwh
VozO6YLvMZk44d1hI1vYHHos5LjvS2051G3pPCgi9a5/+cn+TYW6akd/qVD5BkCDAE3ma1gXYR85
JJz5RAsOTXPkjpxuHbb5AB4VKQB9v34u3vdfv94HLev76xETRiwD2nksbB9qUkPD1RajcDyOmoQ1
FxdvMc/ekOdk+jev9AEDsb4SrBEdsCy8LjjuH1Szi8It3GFTOKJg72gMEABwHGp7z4zSh8EorP1M
vtX9P/54LhvFlVlIMyLE+vF/KfjRf3djWXXFUTnJnAfauiHp4NgisZxszP///NXQcAEzoZ1C7/Th
y4zJ/KbOybAbitHOLxQBq+BH6iPuff/xr1/rI+Bq/T7p6XgR12QbyfL1zx+NzO8iKSnzjm0yFQgz
E+xHm7Yt641HAjj++mS6UVLpVyPBtAfWgNhh0875O/rFv15AbEM9uB6ETvLPj3QklqHujK4+O7YK
T8lm6uYOK3sUPfoOc+6/+YL/9RqyxSoKfyfPWdZHKJAE7mb2FI5MDpflrkaWtek17mDmX8jQ5i61
M+Bpfu79zev+uw9JbCI+Y8fxXUd8eC6Rr42pxMGXUI3twBaWX5NyaByDKlXZP3st4g75++mi2THz
FBQfcSkWWhx9SPz0mOptvGlJI4I7LiQYynk0P/31RfThefv+WrZuMLOFbmPBePnzNYQkytGkxjW0
zMtIBUNe+glN7aBv/vp1PpCGfn8d01k5Ou+Xq/Hn16GqAQyHLOUYCRCIm2kkpTaw5opAn8G0H5KU
bHhyrHr4q4tssmgryjj5Pb/n/wsJ/XDtrO8BkSIPOkQChsP85M/vgbI9T1u75z1ArNo0OuV6EC8A
3iNk+yeSUrEQOeb8N8/z96/wlwf6+rI0OnxwE+kC7fuHS2eIHTZNkZseE7ZpTzJzyhPGmfm6yapk
L82mohDT6oldxEyBHkYjhJHj6FTTN5YOrfzaDH55yqMqOsRCK08Rc3lodpl299e/0L97nzb5vSvD
Bpy3+Ej3zRH4jguK3oMwXedtnpUl6foKn5+ocEbnwMgfyfmcIYsH/jDmFzEY88p8h9Kp8to6MyaO
jlPqmde+5nTuzhmSOmOq6+MR+Ov3+q9XrQdPyBSoRKhInI9vFWcoDotiTI+lL7Ay5wyz87Dqun77
16/z4a7np6Mg5ydDdISyxf14NqYaOIZI61IgnfVy56erTavCfXAuOst++OvX+vg4f38xhCoGp6PN
5MD7cHnOXmd31pTxOK8luAYvQpxYQIosuFV2iBHisJnG+ayryX3WyireTzWQ8L97E+/QrT9frkyp
BOhlm6KAt/PhVClkoxncGXBM1Cjno1sYPEx7H63pEQzecqeZjnizacBDMHHvVrAELEEKJAhdB4q6
cwfW6+QrNd/2g28oluer6bwtejaIRl4ulyLpoAUAtrtfCjP6MUyq+OzNxXJZCjmNgd9K58FtMboa
gJHOgxQ8cLtyNO5tlTsPDtEsh14nTDVh0K82okm1R80dlzskayaOAJq/m5JN8GtBgtnbwmzp0mnN
vAT+VEU/MK/azakqW6TF1dBEh4XtKUJ5WqckYJm01giM/tAwt4b1mrDD+1qp0vw0mmbTguJ9Nw+z
fv1RDL1FKBmJtMm2AyRwiU3ubMvm0aLLIX1TCQ/vGnruj7hmSxpWJWUj0GzhxeGYIjXeIU6w9qMl
KIYqF5Wy59JAkzDvPnuEL3j3tZ5xvXH3x4A/ap+XZ9WuoaNADhiwfHGfFyuyNxPS4Yu7/tnOrnkb
s22ys0rHbkQ3XmiPfm3OF86Z4jOjvvHm/euNnLHfGlUi7hqzTfJTvSCTO0Z67Jgng+X5hXYcGWK7
JBmAlPenFVv8s+wXnlAYQLSXChEi+2lGUCIkq3s54KLgu5ttj3h7KUTySGyw9USLX2jspUR1u67b
oG/S+p+JGMaY2CNxQJqRvkkgORVicPxKe59sQQZcYMEfstg0P3nVIA1oMXy3JUzlN5LnjJ0ua+s1
s1uySrlp8L1GOOjvbEJb+xDW8nRLmtR0k87WkGxcS09fCoeQ1onsS5QbmHa25nodlqsYylMZxgEE
vX26WSadAgZh4bKrhoJrySUG8hKPoBeCiNZrDnpCTe9KWxMCUwl1jko6Zq4ZH4B4wWxc2J5ygW0F
vP7XhHjXA9t2rl47Z84so2T6X/bOqzlyI82ivygnYBLutVCeRe+afEGQ7G4g4T0S+PV7wJmJGEkb
o9j3fZPUIrsK9jP3nlsdh4SOwXUq8eQmCJQ3RoyWPRZ5esYwsQsWAbmK+egtXJhmj1bARBm1VDsy
AR2wMVV7H/eJOhl+W14B2ZGhKnK1da3OuDbtcjkPDepg8huip7j3wH4N2Ufjltn1zN8GccPxbovF
O2QKxS3xx5qVU2q/+dj9NzUYFaOae9JLMMkbQi+hRc8XmjBQ9iRpErbQlnmGilZaL4EaEW0Sz5ia
wT5JGmSUQ1KdyVuD6ySGGnfxFGyagq+F06ENkywjK2GESGR1EmqII9+QQ9nXcaFuW43sYWTkChXA
B7JAuPjeadSzG7ksoLvawouRE12WOWHdl9OB4AcjzFBAY05geBvUMKtUkDx0yfzJevCjHkS3S0UB
tNKV5WpLtk7C8H9gwIVfNNp1Hs7a56021NY7QvDzwiIDXZ1iUqPAaEn3aRyjK4bC8Y++Zl2Y4Hw+
A73hASzXGqmw5htX2fZ1v3TNPYlj3VmMIHUANF4yr5l9aGAFwpwAg2pjxd2vxsBANpsVUg78tMxt
5thOz2YlK4jzIvYug5Pzgaocr9qGaITlGYeDvddTHiGEZkB3hUy/uaVQkiQdujwvMs/IIV3M8TP7
8OmRsHrqhwqjBui2cZmvM48AayapWGuy3v+ZFmzvdO7qU9IEjEoh99vXbWw8+M40PXjTPO/sZRh2
6/vH2eiqHqF8101x1xH5HXrcaflJCkkpYMFKDtuZWgQyMe/C0u1Id/MUj6KSsbaMeCN4ceAd65TW
Z+D62xaUeXuM6PIwgE3BXFJbxW1n9C9eTt6EOal1trYgzIpz5Fnb3mVduvIUiisBRmNfpgSRMpLs
MNwM8WufxtOVPWgQvtF0TqfB6LHVT8G7nWpm7w42ZCxBPCdPZdAmZ7uhbt9YEwqEZSy4MFNqB1qE
XNzj5/d2xdz+KCvfgfnQj2+DLP3fvdQZNIHStJ6swvFe9bQEhMFChgvnYWIXUA3UY6VujvWyBDda
NC5iOoTedlXVoMMa70gHHRwDbWJDrs2h/VVbvr+rJ2x7TW9fe4U0ACO06MEk2wzYhSUlTOkdBi8P
7vOogfvAzNum+U8TyZiiNZ+EEkwfyJE/c1KDR+2gU+ElnOOKFqP80ovR3Xu9YGrAnH7r41Vi4sgl
4KZlTQp07BwmhI57F9ck63Uln7O5q+4watkb7FzpKUob65ojqLY2S/hmjMzD6Dhc2EF5zVLRCKMi
sO5i8JtHB0DYJcDRh5licR4jpzFBQkzVIYdTsM9ZE30Mq2CABw0B4t2k7NDvyabZZJHjH5KxtHKo
Dfgq4i5iWY+152Yw/OrWWCLK/sCukLJ3cCZ2c0Zcx+q7yA85ppU3cEwMcaomvtLC8attFMn8NItg
/tXTjuPqmYZ7aEKaKKQ6GDsSXUve6ev0PWSN4NzQsdcHmCUeDYBZnXNz7rm7+vqadPj8rnad/tbv
tD7aDdyaUAX+sWBzdZr8Umxw/AA6Q3d1nQ6lf5DxWHxmZeO5u6wOmlcZY9V13TT7HTgFgt/aQyCP
oJFZUpq3Lx4Iq4JfvWNRJ/MwcKDqhNh5xw/WcymgP9GJU1wP1LK+afSAWErwB4z5r6A/qdDAnckZ
V0jfra9JBPVWQdjONlDRu10Zx/O1FwzVp2eW43nRMLX9gHdgk9jLAeRStAW00t+Zxth9pm3GM7vJ
eWvwEGgzgnRG6TWZ89wbQ+l1X+DxMWJBRNDJ7wQIbdirLoeAIPuSNqkXvxs3Ka+1U1s3CtPqM0rG
8VO2yn+LhwDdS1kGAs0KUT3schxSpr0CiEBRHoUr5zMTY1TGhTu+zr2pboysaLYCAy8sxIbxuAI7
FFJFxTczroxtnzdMNawmQl6Va5tP1eujLFPjWk4q3xKizjujsua5CPNhABXLwykZNmba6KMZTf2Z
LVI9YGe2Kh5n8xI/+mysWJE61nBy8FkYqByokrIoD3j6dIt4UkC59wEcgl3NS+FgG3V/rhc1fNX0
RnQYSb4tRcFRaH31HuGpQKBEiXOdeDVGMM9q9dE17OiFtZL9Iaxa/LbcYbqwNYqfHJLEQ7Pi12qp
AyzZiqn+4LTvUS0V5aQRhE2nnimMo10fuQaRLs2Da7/E7BZQXvJ4JQeCi6p4MRwiKgxfPHijzvCS
lguZzf5eLlB02hK9qczw3GiKk60H9Qy0EAQ9nx4bmAbZOoFWn8D2EjiH9MnsK/qKV2V8BKhh4Tef
fiH5Cw708jJsWivYZ4S0hlnhnq2ucEJT4ZcunGHvI/4KSTsQWy/icjZSbV7NDliexfxYkJ8g3x78
gzU3hG/iUDzIXunHxrWSEP5HfJ2W429RwwdqCP3ECTdaZ8Vgd9cxzTorNmDHwGA8YOk1BKZuhwPE
HuMz601827bkrUMhdJZDJXcdxCwgo313MXqdXjJTHzIXT5xNwRXSVLvbftK3k2uY6CG1e3RatlVG
Mfq0JvU2Z3HLC6KK7rTZGZs+T+u933e/+lZUu1pUy8F0VQVuOHhvWVTv27l2r3CtWJslNk4YtFDt
iw/lyn1Fmjh1SnCDSfdciOZtKpbbIYuw0bvPdRvh3qsYGOWqv3Lb5XfaxC8EUjyQhoqFHrxHmeYf
gaEm1LQMKb0++IQG1YVLSyJ9IEznucoVcuvK+iQXnMJKxDzkE+uUu22/RfawT4caZqs3bYbY/SrG
AFUgbpd44wg6gngahtfFXr70qE4uu7p94+UKs2owx69G3bHpaVs/O8sWc8CM+xBZuH0wl93YqB96
1Ej4+uTiNM+GPw5PjY9/LenUI9kOydFDmBaSTTL8EBaRJ3oa++NID3NhxYeiSafrbY6P3bGV98PF
on5QRQOSpSMK/aQal/HolK7thBck+lBNLMvRGyHAgHeygBpwRLtPCv2wClx+EjaG3lDUOQMdMjg7
3zhYI7S8q94v4K9uGpZ/dznWPX6f1WTpx8zQeWJwYUb9KS56rmhvyup2w1RTpiBa8XPszS4GYpRR
Dx09e/DETT/06M06gGqs2QKGpm430XJmgQpBHUYYzaFCdpHLDcjfyooBgzeNiOXTSG0tv6Itirns
h23F44U507rTmKshehtiGoRINPQYFcyoVC0aEtRIC9xE87WQDl2y8sSunxvXuEmFo8ZdH8y0HYPH
Y2nqiNItMSbzoFN6/JUu1nSbujPyLjNDUBO32TkBx/cWF4Ihdyw988HsnH7nIpMDyrSMxmdVTa5z
3a/2440d9Hh6E6fuMJuMlA45qOlDbdrtidqeXy1cNsdJRYOOMyxe9p5Joo8xuf27m4NTVi3lH7SY
+s6BspqZY3lCcpuGC6/8k5URX6w6OzrbicNQoKPJ9xGoXH1var7/vrGWRCKymT1Frs3OJkOVRzBa
8eP7fwn8wnrAOOo+VjCBDp6DoQt9Xf3RFRhmQt1aTAl8e7qdFsoeQbPJrmcp3ccg42Ai3MOrmvTN
/ntQXOeaNYqu/O1AHs82L1RNaJECkiwCPmKRTNkZC0B5cAv27ZXq+QLgeYoNz5HlvmPwcgf11vwB
e4azXmYGn3nS7al1SlBxeiVSioS9fjYs15oo6R5GHN8LU2D0VDu0fc2Y1FWIvw6+t6jp7YchBxgK
X3TK8GUyFWF4ycNgACAVGTgMKjk68N0igEJc/8YiLkEV1x8M/xQknZSJor9cBS3OdSK/gp6RTBOh
7y8BG+x75Nzykje9ceOYE2Ez6cKGbHEYXkVLdv6+7oTCjAtHQVD+42rA+7LcJ30HznTUYv18SR39
FsQxMxShzbonJIdjkg9s2Uz+lXOlb7DocdgYUobSBOlplWZ5qNZRXDeUy7U3R9Ptkk8APyv0Xq7k
Cuilwe8OxvUX5qn7GFuBwLwz+rCuK+b5HkZ6LOMGSF1+JCtle/LK9U+rnqNluno1odseQgx+0Q6D
JmKEZhLGj8R0wElkfQb2uuO6TwTltekxZ0XYSMNvCiv6vQALvxpTriZ74ZdiBqk+GCWWiB9La3zu
UeVfAhOe5QjM8SNKDOK+2ZnXG5FwC0t7YDc59dE5qs3qI/M6NuYNMIENwKPcQNCUR+YDzQHfsLRc
xl9RHGdUwNFUHoJSWRf6lva1D9bDWxh5dh4qDtPYVdYDdHAY3esNa3VZ8rNYivoDPTR/tR668ZzD
/D31jFxxq/ii+1hWSD8U1fu+4eeQu2RXPHw/B6cbw8RUtB59/QWvMwiJ3PMP3YhGxOg5O30fcbNr
dqXRMAdMLMrg0Ldjv4srd762GYFf18UYvbWTMzvh4i7mVR5b5m1pg+h2cgQdmAIWDnrJ4/BgkNeM
uKrlFDvrVTDVjOac2mGk8K34y3zsrpspGLhKQO1+rgHIH6wiBZaLpOaerlon2lZ0p2hweT4GkiMV
IyV+WmgIfntRzRcO+vUabA1yWjwHLSF6DmQvvj0vR+GBm4QJRNvnu8n4y3fpk0MaDP2jq5R+J0yK
LVRHQd4ySq1jImlA9Wws9NcXsxvLG1Qvw5MyJv9nPRKsoSodnEmeyOcNnrTpVqqp2c+ON8eboOQK
GEFnvaWug5ina+022nrEdWE7rlU1/3P8/P8K2b9XyAb/Vehwm+UfSVX8QeeASnb9oX/pHAL5Dwk9
CgWBTbwllyArhH/pHEwDNYPhAhLyLMNibcof/Vvn4K1/suZEsrNhGfBvhaz9D9KlHJSD/CXrz/2f
FLKOg0L3Dyt+mthVREEulGeZaxDzHxdR7QgOV7tmc5a90Fswv3vexf3eLnr/HotBUtGdxKJk2pgs
zi5r3UE8J72T/szR9oKW0iidFhrsghv7IAZht08DAKMrKnKV3vUM7ADXKRpmTG/nxIzzq35KSZYS
WYvKjFXb2UKbswdEge9zTMtLWjeieit5OyFuY8gPS848MHccw3hJrHpfjFMbvI0K99XRN6gogTDP
+NsnPfh3swXK36vgIyE16uXOdscSOm1c+wjwepH8GJiOFEdMVlm8r4kKcC89avcemx5ebRkiZ1KJ
3hQTm6PpJk8kG8S93+RLfcN7hK+baORWqz8LR8iRt5Pd6l1RNesyrHSk4+PrsyIcw9sMu1t046Pu
J2oryjme4A7YTU8NeXmBMUFVGiGWmAmOpa9pyrtp2WXo5SfQc2XnLFB704oE0uKfEejudx56SYdT
QFD9DkpP/KWR5hZcpaTYcce4ZJ4V11bCRN5PiTVOfy7RPHcOGaoFk/jtGFdK0hji3DlYGfkhN8yU
xcmYyvbOSMksWgLeHczFMAp1SXlKhBiJJqutR5gY8CXszoC3b5bTvZlPzt4N6vnDI5xyN2GrCmFC
QbyvumY/+kV2IXfA5t0ri1NVkQuKT6gBKVsyUMFIMpz8UYfekGT7oiBizIYTfetYDGrGhDgfVxI7
KXsHDS4c+mO3BNF9W0zFa1SKnnluRMbzIsYa3Kf7nFVFfG/HTXc3Qam5z/G4vSUFUWVxYJLiABb1
nuuh2uOxU0gAdUQ9Xs2vWcJuKaQP4c3jkUpA4oR3E1CqvSS1to86ccWt0JHuebIKvLNea18iN8oP
goJn2Zoe04uXuvEd7Da5+9y4ZvnYQUSlH42SWIdO2tiaiXgLy7aal+VUtmDmeHkQY40DqD9NzHMO
Ex7KF7uu7Ktg4Q20McFMPDGIY7wP3CFK1+ow/21OEnqH7S2OhmRalrvMwi84m5Zzh3DdO/FyJCPb
23bpIFfcqPYu5rwaryis8nWZMYy3QxxbV6Zm6i8lSt8+nTnXA5vwe6TJ5Uvb6fIwRl79OVnJq4k3
J+xz3z9zphl817YMmX7718uc6/sIm/C5lLp9ik17+TFgWStAY2jrK61a40osJZrFprG9M6bAYC/T
+tf6ojrSQTa7RGcLZ9BLKYv94Yfhks41oyR9tadeOaHT+NlrI8qAQDbuMFf0GCg9gOuBN/V7Rbs7
VSnwIF/lh7S159syKJ3zpDuiDSBJEzPLz4pbM1XZZnEWpOIIHNQdqb76rEWNqJZIUzjA5sr+dHwN
gakX3RZE+7yrJgLNpmgiOD2HIunRPYWxMMLa6aZzxaJ3i2PAepGesG8hqz2rpX1Ma+H91E6F+RtT
jcEcbGLjQeLFkj55bSqvCmMmMLNHToqVgBe0ik+B7LzreWobbo2heySxnHamNaovdzAwXbJiubOj
YPlspgpouwmfH0jMVF/FaSyfY1iYIdFDFrbHopkZ9LNxk5Y5vPWO2JZVHodRxjRpAf26IFRuzyzD
4o/OTtQvzHZD2I3NBe7XtLI+9Ja+y/5hsUGFuMTieaOnab5YkLWhALkI1fveEtxxMjFuTErLfYuM
FBIwM9J7PLnYp2qGILt80ObN2EHoBASgqDzxBxEXYiW9foBG28FFiicbnH7kf2ZTwapsUAOIVz+f
sBczqniQIvIv1Vg6H0yhqisCWFoXQadJstlg2PouNktsyoxHQOCwpmTIaJpPswnjiAk/DBkYMNOW
rCva3k4lJ9JRRsIRZkaxwrSqm04xvYdsV4W9ob8a3nkP5uTOp1hEXcgvpXpNo+7kMEA99I3UF9Gj
1Q/82v+S1IS/KyF/soSwqODHrg/nBncCg7pd06bA1AuRXU+gPK4DO8suiVGheU2Xr8Swmg2ebPIn
tX6ujPZRN4vBVLXFUbYC6/F0JXuFxIjV1xLcYz6uoKRYiR1KjI/HWCQ3eTbGezkoom/K1nxFMyIP
KbimPff7V7qU/kPD2DBMUMQ+xZ7JEyRpsVilWbFr28jJrx3Q/6HTleN1VRrxUUx6VuzG3TXS26zu
uXKLbcnO8w5qNdgpvbJPrdrMKXuk/xK7ABz5hPPWmuoSAlPNKDXPnOKuiISzz625Is8SLLSBZWYL
EUpdRBt7bCzK6tAPetjKQfdvVtsm29yv6OW87L3vzM+0qTNybqzlMk4FuFomGgkQ7qbYlF3F2rEA
ZDjbuvtt2mO2Y987PKaG6+xGObU75DHZXvo0z3YrwFaPZndD508gemA3fArV3o5xapu7dAmYNkp2
96FoEzLNhqtWAQR3yolFr8zfG+xl+3jys58FekT6N4Pz6vvvOKF/tZnqTjYCbAaaWbZtHP6JpWXA
Xtlxj6PqgY6lOahlZVp7q1fmZalF+hWkvsOzMxGH3ikFGIMovydWkl12l6p93afNaaAggVmfB0dG
oB1Ycyovgd38kFnJeKWKih1vrutm25tA7QzMi0C4YTDaXld+9c7EFF5i0xtirJxz4h6n0W5C5Vwv
kuiVUhZscuvA2lem89UY9f0w+AzDVblmNC4HHtFwQG3xw1QSUzZ7xr3KFpZMObiczKhuvLq990j5
C7rmsOBJ3hgFiT6YIx580dOsVziDy7b2N00AvdhVDEZlktDO5/GeLci1XQgo/Z2eDrk7BEc5p/Co
SJZiBXI3tyrZ9/TSm6USRBLk830wDuY2U+TbdH1dbfulLrdkZeKLTQbzUI72wkPYs0EdaFDWgfCe
GKKr45JGTI8d81cTuWLHHKPYqALzq6UA/IxRlvA+sIf7yTKDL1XMzc4TXH5VJ46uHst7VzByBZ+N
m9Ihqc0I6uGkizY44hcXTMgW/1z0832unHcZec/fypb/76X+rpcyUPb9hwjoL6Lx6w9m6R/lz//U
jFv//KF/9VKeswrDPVomQ64KbwOR4L96KS8A1wMlK3CITMTuR8/071YqgOHLWpMtARErELnpzf7d
Tnn/WDWruKccT3pIjez/i+HwT3rp1QnpoutFgU78muX+WS1ZGkPaFkkG6CmGII6cUJaXWMfzc0F+
bhjHJNX/x+H5XwTafxGfgRFGGGUAoEOERjfyx+6NHWzSi8UFmq3T9t4Q4wj7cVJ/o8T6i2CSr7Tq
v6V08OZafxYr9k6HhsVJ9BGcoTpMlm7us4oKUYFD2BliyrGht6RzNal46CaSW/77l0SQ/ccmleNq
opFc9ZKAWTi2f1ZsDjOjp9nrj5CKco0YAfwEgHHjONJyXbSVtGdNqUNeJppRE3qnHa0bYSUU1ijb
eWSpbsabb8MU75k1D8CEZOkvE8ltVsb/m1cznHQb2NoIiidl6OgAI+Y57s/z76afswc79VFVaH85
UoCtPYPbsP52mh+RagBsIsWi3ohN8C1Vg0t5gw5zORqNNp9cm3CSlnXiE/sjfdfbQ4QHuqs/fBCY
Bsy7cf6drClLMGrGl3zAw9KlurxEVH5hi7nMJH3GwlsTGdV7ogg5QfnPD05aBZeO2dkOnXD0EIx0
c1uyf1anltfDIo8R2MPERG9rHyyEcEzGvM7aeQvc/bmamVRpUlacZikvlQywhTFZAzjkqfaeLGBg
SiM1dwg2gOWUmyCJs7U6Mv+dtojkiT4byCZi9r062Tx9cBszJyVt4ePY/fhCKMb4QhCD+8jZIYUI
nfuutBDPDK5uvmbyGELqFa6hqZwZKETV22AsnJmmLo2jOwXcQxNDQrsvg4trCnVsGrJtqNDnZ6Pl
R2aj7V5dYgYvkY7JYIl782lg4f+a9lN50VUVXIrC54gEaYOJSxYTvCB3WGiv8eHtujrKw6kcrR3y
hOyBoKJgMyA5C5kbtKBN+deYCtqmLrQWyibtwyqQQ/NFBv1MMlE/H1w15KfK5+TOHiE3GpceYCq7
bMudAV3jVHc+YsVlzbdCCHAQZpQ9xJPJrANyxQ0Kdgd9UTz+ygyMWmVPeFaRGwYPDbN6V7oZX6Kg
Wq6DhsCgGijCoYb2uTE13ziYRH0TZevNLhrnVsSYhCWchB0E4wB9JITaMcu4FDE/j79QGs+HWVny
Npacie9QJFnWIG9ZxRUMCweOa8YoH8WHQ6pdlCJ8wYFcIpeNogfSyZovJhbLNUFH87M1kSGDSiXb
5m2T7Xmp9z+N1DWfFMPJLbYV9j6CY9vFnMd0WA/1eonmJfuhueXbL4AnYhatnAnpEkIlTa7/NhtJ
II+96Jx32dskugFRZlsAt/7NEpOGQomCfKIuKqxT0jnvBqtcULnR8BJbXJsbS2QkDxpUhJKqjjf2
iA7Dq9E1O1yU63hZJ5woIMH9HshJfVsjtroNsKrekhBpPpWqq98Gx63eBdXFbvFYX7VWVL3bhTND
DBfOo/ZXMZVImWEDrKw+Ysa8ZajsGYRnS8bj95fzE24C5kTiQc91CYVDpQsQpbl7RUaSPczwDdGX
xRwfk97mrPO0CN3JUMe+spgGMW9QB0crhNa5Sy9IKUf2FILAhmotIx8Cyq29cy0wJL1rxb716mcB
ZIa3sSqn/ku1g3xTcJmz+EjdVMIV7RdR7mwDSMY1kMaIVjm2B/mAJ3ne0OfMz6bPbqhyB0BR2PKY
yTWLu+c6hAjb47KiZNI9j6ahvBkqNFfw2IOzJHOlN8DKVkb+IJzhRhZ1sfcTz7lfWEBtHA8dTevE
6HGiG5bPSPg8biIC2JJTYWXPHbaV3bAKygY5fyofdacch59ZYhUnUcZfyL1BOy9uvCkJ6LlUjPx2
QIw0MpW4/2kqooRi1V3pFa6L4dA86xW4CweL0EbPgc+x4njlCuZFnzLOYcu2yU39s8ioqVXelKRe
BVFzQm6dby2StkIANg5cpWxkuZ7nv2PiaFHuOKsOqpNzGMjyAaakgg0vgqsUI+1156bT3k24YZu0
MK/UHOkdaNYY8wInkphXuoMVTlysmOJ69bJWEwMnpBzclqWZHhIDuDHjPONqclRwpJh/tFcEsiuB
IRPABBfZ4th/dfVKSwbRCjm5+KYox3kP9LiGVe2aE+JXYMtDh+qhXAHMMSk5qFUCl1HECmieITWT
CDMwyFvpzbzA/f34jXS2dL9LiRJ+wPdlbsw+I8mVLaxG6yHY4fj63ccesZnsTOMUj8eNv/Kjg2+U
tKtd4ATkW06ht7KmEa8noTdKmwrRbu6pzpCAfOOpa56voGx4iMD6ympcsDX31bVcudZoVImDZTB+
YuIAVjdJuKu6HUuqBjAMVyADAOdcu61+XiY7JSYMPZjflccp39qjqBDVuMtHvTK2rblYnuq0Jo7b
7IKjXpzgVEA3v1MroHsENkvwXi1D18oLLndA3jmBOIgMbXkPRwCswDfxO24Jtjdqf9+IsdiJVf47
rXRwghfSH55LOpK/ssPlShEfgpHo3IT2foiL+9xkUgTaZTopZSMQkrjdY5hEL7kfm0SrcMUTlQa8
edTRLpgieU3ilUSINomHotc+45VlPq+GuxzFMfjAXeMCf5Fxc5OQtXAJdG+5BCOQSQ3QiwFzIZPs
uu4W80ReJOo2Ber+iih4+22A2cic15kYw1lMlq+SGYVkmBJA8qsuVnag9EpXk11tjKelwbld4zM+
DGbuvDHKVYiPM5VeZB93X4Wdush5OzkuMdodM3beGHMZxynJ4LUZFalAmMPLbO8lzvhJ4hsTFhJD
qQvq5l5rQGNuM5bVzh8LdSV0TqRTNHupt+FeB3ltj+0laLpKhq1GuQD8mFBDiExMZVJFwiJ5nbR6
SVl/WuC2EHOj617PDUu0tURKU5v30Kr4ThlxgIZEmOyXdf8TPNtERs1kkc1rZB0vnJqn8O8yz1nd
ziJ6qFGlMqZCyn7xopUNEjvr6i5RBYI3MjMXpcSDqGpgIKOykz1EgMzfxga9fUGRl2ylq+tPXQ9L
DRaBk2QuvJ3ngarwn8VXoyzzKTXn7ifxD6m/tQDFUScX6KY2Gq7WjjLUfdRZQ1m2FozlzhpJxkzB
cpzwvJSXvF2WozQ6dP0VSwEAA4wsixoJGmT3jpd7UFTioWT69aIISbiNCyoN+JT1Tbx8fwrCOm3h
UpYCjFgfyojEf2OJhx4deJQnQdOYdzwGy5927VbjVuAN4q2NX8KNeRBtipaPw9B3PiSmAO2mWBBj
uhak/RnEGxziwp2vjBFNfjKM0/Y7ULKi2HpDvgN7bF7L38Ct3rxe5ydmVMbGjqX55Bea4MWZhE0g
jxUWAxUgHpkYeBNExzyhAoB0yqyg+TtL0f/WQ6xmK/olkDQ8gf7YKiEey6o4Fj1jNas5k5MGD9vr
vJKcnqa9R+5LeW8TrTVyYt67uSXbaSo52EPv/F1DY65t2R98LfQz6ydhFIw4ALTsHz/LUNlVwc63
P0pF5Q/rcXBuPbdfszBZ9s+SgjAJOLI9WI07L66KXdo59hEdy3vMDuRBlASJdvY4X5VT3fwYBilv
R2Xp54mKe//fuy+T5vgvH9Y3AciQPUNazZ8/rO/BTRmF3R3Z6CAJB1n9ONfcaIaZJrdi4KrjVcQF
BhfTfMr6zt8avKdWVXL1kdbUzR5jp7+xz323nH88grbDpgq2kE/j/pfGNwYjZwUq7o6A8FBmBohm
tp0/NJdlYmnVtkOy5dG87Gbb5sUTDVRQLBbVwUvW21SO2UM6yeZs5y5uEdgTP2uVe/e+y2AO0MZy
jARJbJtmnan/98PpmH+9EHEe+wwvaKrJ7vmzkcthR1rnjP+PuuGdNnuqZo5cBDMAG83TSZHTGyS2
9xtH23hkD8lu0rQ+/LR+ncrY3imHckmQMLEdyFC5HltLvo11XV6rxc6uDKOw3y2ZJfq6juuSONUk
8ZEzmdnWkChYIJnMh4JHyZH9rHNrEN2ya3VBvZqTP0YBiRRM2/OVTKjm22aYttX6hLHkIB6Iq3Uf
BeoDjEux4WysUkI1s5nXUrRgpe6mCmvzwAMMtQo1O80yfQnEMbGBDccV0uKXWUnu1OqaQIj7Mm/W
Z0qwlu0ZBX2A1mnzHbwr0VXtWAyT1srO+pIOSNRGrEwhPKfxZTVKsoRwrPy9tdnhnskT9cbLGhXM
QVKI7IXuek2KTJYY4VDbUQ5l1U7h6YSOxb5HbvlCpfVSRZLU1saus5PnMr88ZZQ022hZ/0NEQR9t
jQ6EQRiB0fHHjUPFfRUYhK56+RoFJCdq+tZY429ZYvCN4zIgfZqHcML8llLew5G0ITSdfszGgEP3
zSMW0OQrudNIhEvTCTsHI01YkJJwrds1WiSR9eecDtm+Vb06DCPVlZFNXJGowfot7PjhpVf5u9fS
P2ISqt98kiDUtp1X78IaWhxkiOrhOa/AAScRDy1w3pPJi+M+s0d1YDTKQw/cTn7qUa5/aJw8H3I2
qQ2t3GLEqjmfNpEld3Si/mVmgbEZJpp+NweDVeI0etXatE+G5mnUr71dmQR5SOIuSHq55GQBzDlT
dXOJi1NLBv0lLT0bmL3y7gu7HV4ME3sY+iaQV12LdkzSYdXmN+OmJDsSJpDZvVopAyWg1cS6esrj
DpY8Tch6ZeTv93RGkZS9xz5i4R7pkIsTWGLyhzDtCTsuNUelWDBk0R2SDi9Jdkt4JzZ1w1TOwvG2
0cH6Ck0KHpfO7DEAKqzmx0Tyx8WcGLMQyRlcYiD2ZzV75cWNOXAtL9BDCb41JGRrfPElQQz9NKuD
v06AAp92s8iYD3mKNtmfyuU3Ck6yq5W/1G+ZW9yNmvUqWk7abcOJoT1IjFpTQiSF5JeWYi2c10+t
5eqL8VXFhVHl6zmwJ1z8662q1+e7AVt4ixK8fncaPex1C4R+kxqTBQFIMRlZm1dFwmu5TfT/sHce
y3EjWxp+lYnZoweZSLjFbFC+6Ck6cYOgKBHeezz9fKhW36GoO9L0Xd+Ijm4poskqmMw85z+/UdWN
ntc8mSKmFDmdxWUeLHO6QE4k60BT8ih6wXUMeKUAq1xdak9ncwD9auxB106vIUQ0Cokgr/T92GnT
xSnW12im6uaE+OQGr0822OnKEiAnVUYXnOYi2mN9CSHesZzzzsc8/AQPaIHGbVAVnS2AI7d+AfLm
yJm2CTro1RCGb7WDbmhmueWrcQooRoYRLMwJQK/0klDlqlRkz1MAu/QplGQdibHXVdcDzuUEFUKW
0jGTmbki/NeYMwYzS7BwByA4jLyA/xIdAVcHqRpjc+AMgLthk2cLx2TMzCuJWT8ycF1nmGj1+BbF
S6r6rJKKAAsFUGa2Q/UaxCAuaIem+xzfCs+XdXrQlsRppFFsa3T0sEwXpGahG5MlZC/53XPEb8ok
YE9F0PzGEHz8Cb85HZJjAnabF6FCJKZ90/V5KZdtjceXZhRLVaMn2z9fTeQJ23LJks4L8l90kebn
ZSGXKZVyzqGMV0+FAEODSgym1i218pAZ4RXmU+xbgd6yuWuEJBapWzyPAcVOrVfu+WCzzxYDDuAM
x5F767nBA0mSTmwa2qdNY1Get/AVz5f3uaqXbbjxiwYNcgoi6UY2NW9S8+McotNZZFDwhQvqTV2y
nAI0aM+LhRD7RNd87Uj6fQkFKew2PB+ElMv7Q+7EnlYHMNLicrABTQ+n8tZxQUiDJE9us6EHRULi
tbYgBtydzgbRAgHD5A+vbLZ8cCdAVLxXCVoPNJOjYiChuXIpQ6opkXdoifuVm2EBaCHdPija4VVo
xeKutAwc3OAIHVwA4sOU6vn5bHT5uSkpYrPlGeBfilsVvvbltp4LivMBcgJ5uP3DNFAmlwn4nF6k
8g5ZNJst+9hTQVDHZ7xGoLz6bPsnSLBvAS0dCX2Q+HRcZ0fKz4bdhOhZjVH1IiLfntyxupZmJ2Nh
70gKAgUtUhbFpPfFMxZrANQDmLER+bQKLYWzYVXDWgIubzjseXlO2+wIXWkHcoRmtlDBI139hA5L
Zks/AR/mONYM2GtAm3t8wyExYjY1IZbquZk621vYs44S5D2PutWX9HgG75qm+7e4RRXPMh2z6JAr
szoOZQqIuGyVRCPKTZ0YyRUj3oRHGREMHiCFNCqX8yEEMmFN1qDTmNctiiGG+UZld9/sRQfa8tVR
KyYs3MilCYGJW35pspqSo2LKeIgJJ/OiMgqvEPE+973JXcMswDhIAskHoE/uQZvqdEP9UD1RlWA6
1o0QZ71UL1zqls6MLuHosskOEPQfiKuigpz6ad13PPDJSeaLRAKpn/56WpgT2bjC09DPvZoDZyq+
PXhxze14PUqy3LMwjpAKFCzoiKoywIAOXw6TN1uVsHZgokTzRWnNdGSDPW3HJnnr1FxYqBZoYE9A
8SLLUqS33OKVmyEKrWjJEHx2O4AErnhA/E6eYeeoz2gwsK5dJjHYKDNHNhfiUIK+5dj6bfGn/8e/
R5W/GVUKA9rlu8r+p1Hl/mV4iaL3g8rvP/J9UClMDFCXeaJtoA/HG4J+8y/Sp6X/IRWTNJSA5Hbq
i2vq90mllH9AErUloR5LV0NIyD8mlcL5g8kXJhA4trKvOQzJ/oY1qvljC0ptQjSRWuxAwJEXxxWm
pe+9iDgX0zk2A/mpacoSW/c5owWH3EfNMS+tQKmC+iaMUqBomy0zDBPtlq6cCkhprLc04tiFTcdp
pvvpsNYssYJIXm5IC2J/1HV+j4UoiFIc3t11XI/lwts3iX2GAYYYV8pNKThIpEaLG7rs5lGcTDsk
dMntHBvz3g0oyxbo4Vs+a9AhQzUoGHms+hHZUuqFbJcvECngIDIdidYBgKqgwugpVOqkRhyS6tXR
nCg2OhnGL20wTNdaQlYyydfTZ9z76pVbBomNwencfuvrQEB8SRdPPF3cBKF1I1oNmVpB+vV9h8V7
8ptO0FgQh//tYU+PwII/ylPFXQcjqqVRfGcHlc1KxfCPrE9zbbgH0+jMTSnHGpJgMWqJh9pwceyW
mXtdIOk7zwe5zBgtpzBXUaJjGB3GEzlkZnFw566/mH0zxIlRFSDkifaYY7x4G04abVAUxxed2aJS
d8JFWpFCwQ/gCW27xiiuHKe+h5+CmLYczm0wszsZShpl92tcWdWXd4vk+s+r+w9MKK4LUgSa//7P
xZ3tx4tmsLW8wPjn4yZENfLjRZfUggGAW/5JFZn/GdAUbldRiCch1Xit2ehYuhi9DwYG7YakrEx6
mcYAosGm92LsRv1LmSylqGsiowtylRyHggGvP/GnypDyG56Q4gyIZ7gKO0ucQwwdr03HfwjUKEGs
o/QhyZk9Wkmq72m1812o1aR+9Ia1hgDVbmY94502Wr0/02fjK+3W+YAj274FJdgDzy5x1L6xjsYp
QQdLzQ3VJiTh+3NauvFRqWJ4hW1qeGlrDK9QOI2DPaX1vm5Fj3Yn7Fdl323baBhvWZTJJcgKi6lJ
on1ifNUxla+9hfqGqj4mb9tRQGkIJuBRRUw9vJPwSJ9riSxrgSvzfLwdc56S1+ZRfJGFBgH2TiqR
tOblNwdjSWjEQ91Ynmm6Fai4LbZ52DTowcvoLG1b/QLy3Xjt5KK/MJOKi5NGl2abKpzj/VSHsbua
VSBvtagdr5pWcEMlgd/QY+b9YC5rU0tQg/VD86jChgwfQubPlardlR6M42/ciz7sWYuzF3HJUOYN
Ybg8y4Vi/37BLDNsP+ht7Takz7tp3S5nqtqkD5iEU8DaGNOB0/Pu4Br7OkhnXjXtYomhhin8ymhg
vCzJozmiQqoebYaA6zRMMeV3yqdxKTOqzsrus4rfkvSYcnpxjwYs5dmfF3T3no4LLa4mwbiZMgQy
o16jCbQnLnU6dUSLCw3b1bSFk4DUppyL5Fib0CM3ZqvJTaRD+ML4GJVSnWDgc3ptwQDRpEW0WnVl
Ig8qC/+NAk9/crQMa+qYRjjX5uoygtK2gL8hwLNh5NGXXE92WPNABu9Gd1HOoTneKSJR7E3ihM6V
o1d/KUD+T8uqj5gbt9/g3AGwshAkmI69LO13+9VQiUajavNv0TNaGuQ0W2CCWmmfoNlxBSKWOszU
RruLwSIg3o6lWwJqYLq/c/TFscRgDeK6kVZYnTDwfUl6jJPx2BkWPyFRo/LBRIc7LVNxqKJO+w2S
+c8uQC3HK6aTnMty8R1/fwE5tq81KRb2LahfuxljgQwOmvS2gtdNq5ezz/jVwH4hF9g8D01tYzFO
eCE30TyDL+q/sfYMNuapeIFkLc5h0KJwlGXnb6vU8e9It6FZDfMAgvqv983Tefy/h8Xy7iMFQW8F
/Qa9hvr43YesXjIiB/O26Ba5z0Bw1htvs+/s66bGSmamwsQzYbxKyTratTi/RFT/uXVwyqg/woeN
SGyQ9SE1kbkWdqXdtVbm7twBKTRy2S6nVG+ic1ty/UPmIhNt4aC+9RwTPKJIfWn8gUTJeXb6VVLN
43WnhiTf2RDjV0zZSfGUkJXbrvMfiW2I95qjOccGY6WN7xACi/cugos0HD/TSs+7euj9QzSF9Qay
OAEcjJrHbyKgyEcmrLTF81yKDTicuzWK5IvISH4NjbzywAXLQ6pQhAEqIYEj6/VaLUvPJ6v8a+1r
Yb+hh+Tr5YidZ0SZt+QfIX3NYlpZV1bhV/TF8zbWQ+Rd1dB/U2m27CDLrSHdArY0EjiFvJE0ooyd
r4wINKJZSu50ynHIpOQ8PJEOwlA1K6CdhOMhGSSTqcXvkwwheR6OA8ledjpexgLRy29eBIpE3tIf
3gTXWDhQwmHPXsrBD2UDe3XWYaJY4WQvwMBI4WZme9qbU1IYoUChKAfm5gLCOQy2lGLliyXb+YYc
tiLZBFmDsgO1QJjG6RGXeVwHiD+NklWvxVGGHXi+pbFYlqvA23QCSrln+2+/wLvuv3VwvrS1a5kZ
coPQKYArKMcuCPwxNxntIu8Bod9070bqp9tUAAR7LpnXeyeA5Eqit30YVXY/kuhu8C0b0oI1Ge3c
ytJuYO5Nw7pBefe1MjlWeL/CNTB8sR/F3OzUgtUjE19KzuW5lkPUPjZjsjc1shfXo4ywDTemRwEY
vjYKx/D4PmHGpJAF4QaIWe0Yx58VOX/2q4Gsd10TinnE2Qr4yU3hcZC5CuW1kmFxAfasmIt2SfjA
ORA9YAKSpgAYg+F4RUQ4DDCuO0OFrjArCKlbxlVmsBt4uC2FXzUX4SSwzVLg1GNx1B3UFVqTWet6
7jEiNsIOu48RGS2Xm7DloTVdhIEDcwvPb09WZiHSIVSEjVLrlOiguyBoGxwL1UmJHhtfQkhYExwv
q0zOiCBbyh93wpEpKrTNHFT6l4y2eckCzZz1xM6ur7R8FueBibJ44kVwQMmK4kxTU4gOWBjGkyhA
4XifuvmGFttH1G3H421NbblvUVXgn9zMMyYSiXNwulmD9Z8lFsHyWHWhuZwHSBxoLp3Gihhp1b7t
DfWiLI0qqkwPkGndumaiYZnr6+vImNM32x5uiSFMo5VJ2QrKl4BMp0OSXdp2Fl7LzB5WHAYud2YR
nZ921H93tr/pbKVuKg6+//qrefyps714aZqX17DDVqJt3je433/ye4NruX+40sGGFKG7YQtcX//R
4NrGEoFpmCbOqJBgT7Eg3xtcJU98W6IrydpVzsnS7zsVl1gQSZ6mC3nXsMDXdOtvNbg/7pL8anYn
l+abRhyfmo+UUTYCC7qPRqBzlL6FDLF2msMrFjkkHry7O/+kpVk65Xf78emTJM0MXQ1UTgalP1YV
ZPzmahnE7FEzDOioy+cyL0Zv8Ik/+/ufxGdgcaRs+XPPHrSaPxMaXe7bISEjoNOvmj4jZLGaH/72
B4EPSIX/tsVlfXS+7u2UoVw9YxQGUpWkyRunyVvMf/+VjzExKLZ54j89oxZSaRNSJjJtRQfkEv/B
9mmlq4QEi79/63hXMQe3XSSz4mQ4+q52DUo9U0XIFfW4gp2PSw62X0jnvM7j31yU9fPrgDZXMlYg
38b6KXPG7im9MM8v9+GAk4LVTbdTMD7QGDyUPRr/X9/BH1Ec3mxgA8vAdRRzTEbzHw26MWIpWJsF
uRKkVa9t6qd9jHeHV2jRi+4szaOiYBWT3/4r91MBbbnYLGND/OGlt+qCOS+8nD1D9eJTVxOrYaLp
fdBi/vTra2Qf+bi+HNj5kl3B1nVW9Y/ra+7iborgS+y1rqr3+KZN5Ajo/qdff8o/WcU/fMrHqgrt
QK9BV91r7mhiXjA+9NmQH/P6X7t1767nw63jeAsRuvFJpBFOa2uMX9DCpKv/x/I6GYr/uDW5Du8I
b4btgqh9tMMu/Mx0sqLM9mUvi3Wp98BKU9mO17PKpo0LoXwt3FpsKzQVe51KZR2nBjl2lcqPMP6x
sRqYrBHIEHSrGorp64kgZcegGovN+bazkzd8Eo1DMAMglDamd3U5AzdIF/ZEUfK/kASSbRhgS4jf
YEz2WGU3NM3yMbEl2nISWJ/7jPJtyEZz79szTLwJD4gh5n1O7NEKoBJ1ULehk8DNqZiaELeab7ok
JbwO/P9Tq8XqqJPh+Fr57PICyfmxtwSfEqviDLO9Pl6FthMWm0ml+pc4CVHsNXwf4krUS+Zz0QnG
a9sCLPEKiioSJITcFhN73yf2DK/0EYJWiwmVD2JW6fA84wrwBd27tsp0rm7O2LgwWWxX0O4l0gA2
lzCI8o1lcQRgpyrQ1GMYsupdYRxVxoAkZnZ0JnTMrpwMIN9xsWMFr5SPQdibZ2Mg4ufAKdIHa4Ar
Qf1Ufq6sTD76XHvp2QNT/zJT3cx36lFI4vjltivDmFjro6WouTSmlA/NgGUt4ySkVxTwzz635iyM
q/LK6uI3XfBMO1KVHmkN38Zm8D+11lwchmVrBCIqlsBbmAA1gxRcm1w3Da/jyBpvY6xUD+zo7QrR
Q7Trg9TwKAMiiljZ5bhhYJbsqQ4GbkD7hh1QkL9ZmJ9c4jnJTexSM4dzO8BDO732aRPgeqmj/kSJ
hrI54ib4HblNBBwRVkt/fufMC/AZ2FHy7M5YeWQIY9eAnTHk9RY/61Ux11a6i+C/lhcCxoS7tkK/
fwr9UnM3UHHRn2IRG82exSz8XMP85dEhAecO3mL2Jm3MQrnGiSAldk4a8WqvsBt6KEgouzNw64tX
qHOxQqoRfiSeC4hXbDsSrM4BtQ0PIRCPoPXHBLdKnJELkigTDQsyy31oqpplt3STWNtxxM2T6zDH
AwL0zHQow4c2J6Fshz4vfnGBd7e4evQXBGdTUUcuXoNN749MhNz+aa7nZGeWXZtuCUeQ0TYuDXPe
kJ0EWbZucNTy8H8SX2a3bL7KmbWFpBawG6V+c99jt/+Z+D/z7ARGZlA8TK+GiHREZhVBbx0wlBQJ
T8IMg+S5CmR+HP0ghxrUyBUOYG+M1lwUKVjy8kWwqAqyaa1NDZO2EGL+ZZC40J+D1N3FZC57iHET
/sWuFjrMlk2siz/Ffd0la8T14be8dM19jmWBhxUsplpKdE9lM/U7IytAAFx68M2M1eFxwIyuQWDj
VVoLu1akO/Sc39qupnttyL+tJMT5/gspNxF5sxYECL+0zjgK7ZuwY1FCox43DMf7i76t3U2QsM6V
0/oA/Xby6OARdKa74xZ3yJR55Fi2q2wg5MiD/ordQZvyUrMrMp9IkUvkXexeGRSVEFBZ9UmXMjDE
tRkGFDg8wJC5x/iNHPHl3C0V1y2z+CVqNOC4ITZf0rFxboy+FZcFMpC7GBj5OHa8UQkb6nPnIgrQ
06lY90g1N2Yzs4xIVnev2rwbXhutBqIKGvacUCXOjbBAW5SevpgmG2Vds39YtKE3c0QPitx2Wvs2
proeUwXnxi+SGl4L0c64O/Ia4o5Y7VI969bxFLOJEd+0tgY+muzheh81TguBXQyvoZkfyhwHgYBE
PN5gJDx1lF4ZZVtsQzphHkJWXjXVUleT43mWipKXiZkqZhGZUKuE4FhCjlym5BYUgtOui/zqc5s4
4ps+sFv1yzti6rO4TPw2uozNMdj2JG+wx1FJkCnUmpfInbcNFMJVXwB8m8bMjtgWpFTPVnGPUMa9
mm0/x+cRJEppiKE7nnDMrLeu9wGnwV1fBksnnedY1XfZTdOx92gBu8fgsujJ6+Keu0W3NWKTpLe8
jy4NX+pfXNG1Z5AIqEeL7spJmnTfWIxd4rBwdxmmKBdtHV0ZBBQ8aXHcXE1j2F748fwY6caAMAOB
lTMBkKhZmAAMoBN5WGVXpVZjQZF8tqs6ow0O34rAD1agcPes54e6R6SNZRs2Z0GG46VulFdqgt3P
sYjLuqW+aCbJydLm0MNrG6JIFGKmnbPz1jk7jp45SHF0kGTMkqAT/LnJWqoptzPPYEvvhcmkNYIb
OQq7Dfwcun0mTVXvoHF5EpLRAPJHbDIsrpTNLKbJIyQVs8xsSZxJDoROkIzsIBPDdox8a6yUK8Zz
aWkAHjFuaXWEBwNC7jKT900ms+NQGUQa2C05f4UDEd9Im27diWySKQQP4q6ss2mQI+nAYE01+x99
v4+ufYCCiLMYSmoV9VmIqt01yNLCbal3jghG0PP6VscAdkUtXnfkMru1/dZMhBx7Tp9k30oTCQlx
zmBOsLOQ0U1uvXAQTB0qzci+Pjl2gqdpW7ftdW7ZeMnEqnPxSHCCeNOWYa3gBHeCfN5GNM9Ooido
Zcb00xAbOEeUwoJCQXENjb+0p/6Yp3Gyxsjti3I6TIdjqPGTAU/J1MKttFhfbBz9jWnG2gUG2Roy
KzsbOavltGOdSsMrYmC3LnXavaxAiMbKf0lCM9nYg0w2cpE3gdxi+tbK8bLjjIb1FtT6Oley01b4
KM+XLNfgNSB2qPMS4HrIVfjMxammHaLR1J2tDfxH2IXF9k3Cb4eC2laDNyg3JUSNC94ncP1gIU7m
73ISTgTrH4pRxpxAa8w6TcjEf+Ka71owsKNAdY2e7uFcsN/Iob9ogw7DPqemTmgpLS+RpWMRKmfq
isTFBoIFb561RobuQri/a9R+nETSOy3fB4RA2CAUNLtL3/Hu+9gMp1kDfJ86Ew+dDjsmYU8dbEKt
iJT0J465X7cYP3WGri50WkNCP5Zci4/EXzQUZhZAksGOkiKMWD+fA4rZYI7L0oLDFYdff95P8adc
oYCxBwUOlyfDcD50TgQ1kkfOpJMNBU863HfY5yOsIMo1MuUXgj7cTQJeeWWZznB9OnaIlhDWLpSD
2KJk07ASSc2XYq76HaOF3wEnxk89F9+PwBf0RYui+6emvBzBKh1sufdhlqlj1zfZW2FUrKmhHRpc
Y7HwHjcpvnx4tcSivezJo/NI2ka+Jyi0EQi+UMrkR0fC258knWcTlQhf06kzzzAJcM/zOq7hqjUu
5soVTLjTFDfw2ZWNkcZ1ozBp+mQoXb0YFgldnsu/do4m7BtUgRzA/jSmD7hUxc+nUzHHKcNZDTM+
Db9pcsXyLD6sDsFcSaAgtxZc/8NcPOjQXXJ6JfvWiheX1KbwMJAlnsFQTxUenHtY40iw0IdsTUwG
V0HdHn/9uvzUZ7sGmWoSKeeSh4Ve/sf10E4Eq5QRpE38VFAhakFxVqrhd9vAT4gFnwJQIS0Qdmkz
ivvxU/B96X0rL6K9pSierYCNKy8tbKbRZwSelTA6xzAC/3sMwZ5+fYHy53tMiYJuwCE6iWy3j+0w
mTuqr9Mh3GOvEviQU1H/aL7vPmcdpTGGuOZ05Wqmu6R2PyQEo2MKbA6bdupNgPQiJ7qc/bbGxwqj
XgOxRkk5qRKm+w3xnTFiqK+Vvzi7LqyO4E/E5d949e/wamEvLKhf4NVF3n7IGVyC3fiZv6hYOmmC
i3zFxSVBFxw//0Cq2XPwk+AgICiGrRKM5B9ULOXiv7dQcyQSExOFCW/yX0i1+oPtwOTsABIHBWFE
9xea/h0vbj78/T0lBi/AH9e+jgUVKYf8QyAwluYfU5kWqgCT3Am+ZVmSi5zi6s0eGEIKNysrmfZ2
kRg5ErQAmqEXGeUFOn0NClYQfm18Zy5IOcgkzFHCCUlVmCs8rIvGtl4hirgbaKi4qKPQnc6LCjex
x2hW1XnRzPrX2AhG1FddMmLyYgp7kYQTfrGLNCpru21teWgqt++PoxHVwwVT/3wTtgnxDpRuk5dM
FgpEQNeV6HyiECftXO9QdoEBkSsj4nyW62rC/6+T9UbKEKYtOdzTaoop/y1T70x8aAK1dR3CqDeY
kpoEt1phdJH2xXDo0s7eazUWp32R4etVR/l401faTuIXvS6kixxmNKDvpG22yoIltGqa5vhxNJty
ZXRGue6m8Tx0RQQmOotaCCzFWJzrrkgZlHuMj82WA3hRpBRpjbe15pPk4fHkucv63InrSEbmkc6j
uUaEG2M9xlDjlTsCcZ4K2a/vZqucD22tGk2d2XUwknBaYz+hBsSBu9opQzS8oxwuYKCiAE2ZXk5C
6PnWmp2MwOsB35zW2MfRGBYV6uYEYMA+m7sxr915JRrIAOMGpWUXhxxNQY2O/SCyRLj9GcZZoDHE
lAnLdZJD4Gi2XUIYNREDMaS4bfCiu04RDY9f3RyTvreFTPI2obAbjEuJwWAmPnH2ia3VRnaBKNf2
7acS9aeCve/254hj8UjNu5IbVSd+uJrSLj5Eys2NTZ0mN3hHYf+NvR2kpmS4Yo7be8s5yWs5Jli4
l0kAwCbE0YmTAkWvjiExuUw7XPGvRFSOt63VKaQ2Wopts1vj/447cHB0nNZWK2Vwt1cSS8K9nuuY
waYYrx0yKDdb4i+alwKe3qtsK2Hgjw8n3asJB/Jax8d+MYCsb2Ai5QoEcu3gKSNIjzHEKrFXefcc
xqpvV3OhzGuNO2h6hSqD56BWOvZqKtuCQmq73lA55hh6fZFaRonvuBhvcqT7u3BInPhKCWabWeUA
uSRSx+mWJGlqaNn0ayex8kOPvOMyogeVHgJYdW458XzM/Vn3ZgT8OEOGL3zHeOvAQN52aXBphUyB
152yznXbbp4gSPrPYR262wJJwq6McUxPqiQ/dsIu7+NmvkSYbt4sb/aVj0/8GoopYGMlLmaUvx4E
9XblGKW5daKSlG5llPpbQdbQVWEmwVNQRvNZXakBuzVKwya1IINHVrCL4z7Z+REYrl8tGBJIyA7t
tfspUJrJbNyR5ygBH2ap474bVytb88mYmXvzvIwqbU8LPDyaFeoBL07G4XyMDPkZ94Rx9DrmzYE3
kHV9ayG82oi8Md40MNmMhKQu3CZz3B5Atl7JsnRXpKcCaWi4iLoeDCH1qTQwVyMAqC9elTMFd2as
At0D0zC/tNnCQHCbht9Ragec9CQ4aEmt2yEcGHSrOCYgziuHZgzni3jcGnng7EfTYtqMPI7oYAD4
bWsGZIDYRDefCTfs7lATJKuU+3PX4HXDa13cOnLCdwPs2Ex8d6/BuabJhLN+dGoNPRFyUucrbNjw
2k2diClTkX+1I91dpzoOM/TC1H1Yiyu4JLpAjxfftlntHCYa2nXC2/2JdOYy88QwSeovw18N7Xzv
6LFYT6OJoZptV8Ajac/Ojh/eMzZ/4KBhp5FeKPCZHnXL/EwV764NQK1bbIOjlbLr4TEJG6S/Rgyj
AWfMBkuX8RW9dr/ppdG+BajPVwkOMJuCIDSyIKTxJPM5u5pF5F71CPiup9wstiIN2mtZ1yWB64P+
yRaAkSvAzQQ3c2LFNg0OqC9O2dVrNXbFLYUsaPc0YGQXxh0eaKIN3kYiCvZ5T3aKARlFW8+8WhsI
FWCEFFjwCAJ0EDl28AcH3oBnO711ISvym1mRxlYFQt4HlVueOYMZHgu3Lq8rEeIZW+k9d9YNp2/R
VLefzD6oYqpJHy8WfUorKMRNtvLHyvIECtXDXJMmuCJa9xvuO8ZGjIXrGQSvX4xxGa/QYNXnc14M
Nym292SguBdVL80Iol8U+sgrcPoLdUFUkKzi57Tp0Z80aXlhl870SR9EQzuPlcytQq6/7512PBSj
j+kqQkOECUiKrjC+Tx4zxiOPqJvq6xwbDEQjfnTWjRXWC4Mz3wtocDhDF/Fuqvtp4+O6hI6JwI+1
4moL/F+l3h7ydO5RMtndvcIpi4gE1eRrLTJxVTMVWiE91K+rxkYxajt+ccwHTQFvJsN0ZsZTRnZW
jUbDKZTBfWyHJzXapmf2obWbRqLrV3Hlz0cRCeuVflbXVoWfR2T0hMPKinX3cZrNZq+rmYPewfZq
kdo10daKMNRF0Fre4cBSw/02a3woAuJ71doZxvOuKuptU6K9/Hdx/Gdq9m+LY+HSQf2iOI5ewyh4
yX/gcYjTD32vjh35B55eABI4ppEm+16o4Op/KJ1m6SQUgDZiUVP/xeNw/hDAC/Bx0TDrsCz4Fn9V
x+IPC/0CtmRMgegobfPvVMfiA0zD2Je6WBk2o3QI4xTqPzaMmI7i85I24ixH79aS4kRO27ivTaZo
aG5zC8OtEEbueQwvfAAPztUBjXNYQuh0S/PFjgh5YhfV4f+Nnhlb8wQnWqUqPgvkEtqHAwKNJ0lV
2Ie9u9PfC/33hf3yzd619FTyfGEoyzBm4cvSgPz4zZ2mIzStnusztL/jrQhzDg8wzPOpt3X0RxNj
o19/IEfuTx+pdBg5ioaFqS/37MeP1KKUw68rgjNG9udEFGjxKu1pgnaxwkkE76tKq/ai1rG1GCqX
mrNTva32rkVXvjWDUBQH0mGZts0YdWK/Y/kMGWVrLRTxCOuhgozx63CR9aVStPNO+XlxFjfCr3Hk
yQFQRLIYt1Y1kZYrc4SEibtmzr3WrH68JWONoYiYzRfo6RSdcbWwVF1mdcGmtv0FkTd98iYGS2Nk
Z/FEQJ7bpuu2foPodLIwLquFwUswGOBStQFOOCnNhUXaluKydhjyrewgmoINGt8h2DDxHK/1UKX4
GoWBvBNIBwjosxuuranxqtAW9ntgDXwN+IPOuOEoKD/LfkhmtIGwRa8g6fGNyAY3DiCC4XgPUzuc
IyZSEjVpzOlyJgvoOpdzQqrZ1rInq3yCRJ+Hx7ZueP8CgkYohW2zv53rHF2gkcrxsXQEwZWchNy5
CBJjgNdNMRYHWifg175O+CGMLfnotFwYgzAR+XYSKiP+3zNnnqfpcRwuGm3G7UWdL5YkWPVEqzjB
RDcG33joJgYCfUeyFgJI8qfWVWTdhExgiWhqKm4S8Yk8BUvBA3sKMUMr9wr5Q8apkBjdyoyWdIWI
7EfMzUxMET5RxvFYOQ8lEgsok+FxXh6Jvdwct4pwkh1KA/PeSmPwGKWtZq/mvh8uQuzbbzTa0xEC
PIuXpk84qLsjQTIHQUbQRXGxAn237MFeF71MN1h4BeuUOLfFwmac7jDHaC+BZhhcZLGPcHo2Ozy4
4ta8mKbAetB6W1wOfZleG0YSvMBVjfawKpSzimRuv+RB0j+WBrlQ6NJ5ZcMB3UlPNJBDhbIA3lnq
k0YmR8tEL0P0z4MGk729gVOqWWuzt3lt+trm9g5RZtVXejuaxhY1gJanq6yrDDLOJ+WEs8FITWkk
o2Ujz45eXQ1vUzx15Wf+mMVvxOaOt1GmM/+zUoiPRcA70sgcY2bGSuKOYpHHkyYE+XmaP/Bs0f4j
yJjtovzMnWFxkSHCokzKYvC3jU4u4VPjm+MtUDcLQZttbnAkS2ntkLgUZyamW6XnY1u/D/qYgX7s
SyjThlntu3CmQzZygAXPLhbZBxPkePYEq83d4CjJfbHdxQumWzyZSdiQ9V0yz5r2oHX2XJ23stbq
62nEzmibgt0P93PGjOU+UljG3lJu43GBsxCO971hHGZCVnpvnjLuJQMX7uWoD2CyrhtwIyBo1XuM
3bF3VOwq4bGscKRcnV7kZNR4cAV2TPXa6pdFQc/NbxkHnB3YzAuJGa4GoRi2VGg9janTyavYR4OM
ZlwkxattDIJETQdk1VmidjyNEPVxb/tBHT/XosY3wjM7vMUM32mTx5odQoS4sc1mfVVksOgxxsYq
2t3YaaCBZSSC36TzOh2binRL1Ka1uIyJKhsfnc6vkm+mnUvJgHaqAn+T6b2UVxnnz1x5ssP64eDn
0kHaVBSWrh9CaTBAA3+B/KJFgY7734wMOQqcy9zQ3Sez73w4DjTsfTAOKzJhu3v8G7UNZishaQdl
A94RhAcjdX2sGX2sz7OoHzxh/A97Z7LkNpJt2y/CNTSObkqQYBdk9CGFJrBQh87RO9qvvwtRVWap
UJny5RvfQZVlWaUEkgDcj5+z99oG1P/ELewDY1GHA5/IGi1FY8IcJhRMx8oMkc5MEqkkIrCuPf2l
s2tOUIX+RWMOiqsID3E+l2qTJuPkHYzcjL/KLnJ/TLEVQWdry1slnZsemPm8y2U73TuVG3+xraHc
FWxSW3qi1gOKtPKLIZIiNGFQR4G7FGQhKbe982NiBt06p3VvLrm8pHUsn82sc0GMdypcgP5iIJym
gNQ40r+goN8OcilubMZ/ux7gwD3Lev0lwwPzOAh5NyLEzvZt04mwmamndZqy+4H0sMe4c+TzWIgu
DltVwopiAyO2r1nILvPzEPcF8cbNSAC6dBltpoNVPbHp1J9LG9/NliZQyXlarz4ljrP+tAWHPs+x
qWSJAl2dRZMFNngotnHkdj/TlnQgminiYC5ZHI6ANa523LlimxCYN0OAohzYrrFSqBWKao9VCyU8
4qvq6CaTGca2cQ/guN7rU9JvW77jZ3z1jGZpATnHkuHEgA3J7a+NEtGjX1O2a92ShzbxYAEJBYsX
zrPjXLVENWcW7JlGSjkfR83wjwtpTGTZti2uC9EHTT9nYBM652lIh+W7rsvsTCQ4PQK6UHL75wrl
t2IOdi8DWfd9AGYxmPq1PmmqwvIyiet9UjWzxnLVPIwWm5DQ0EvAI6vO5MG2hz9f9cNkg0IMFySO
JYi8hukSDfvrVUW0JG4y2v4JSnr9CqiShaFWJjXGn6/zYZ71fh24Tg6+WpPWsP6h+iJi3uk7P45O
AhEJa6resmavMBJ7ilgw/vnF1nY2P6eBbPqjkdLgHdZiisDTO0S/WqER7+JZLe393Z8v9XshywCR
1gu1uE6+4keVaUOGbq3RYjhZZLtdyxVGYI8wXxCKVOfOZSz9j6+3GqYxasF3Fnhcfr1fhlfx2srC
xr+TRC//2oLIB2fHsMtVctSlMz/vn6+5Pnm/Fut8OU/32FTocvxWrM9FLJTfKnHCn0R15QLgSClL
GORAxFkDngTibyvQioF/1hF8TP/4IUUlZ/M70+MzTQxfv37pqhSNPklgRn1Px3oc4RlMxlid//w1
f38VuIprAPJyGDdyMvn1KjIyx5Ien3PiKN8e5hRGhevNfzfZ/W9X4UDJ3GQVJf82zHQU3mVcOc7p
XZbspMir4I78fzwmZClZgK857awU7F+/S94gnSTpyj6ZERSVtE14KIYZ/vQOvbNxVfU0LH9zpPt9
/WJNZzXhawkIAR9fOmJSo3mUjjhpVeR8NiCOoF0cKEV6yTC9BPQCEb9beET+fNt+X1kYXqEnN/i2
vvnbG+GjhSHQ2DaBLvN2RxXrpHJQky8ZaJ0/X+q/fEUeDnT/1OBIuz8uli5AVS5VmKd3HNVcGNV5
gcz/KsWqDllPcNP61Pz5ov/t+9Hc9XB9ME9DH/LrrRyAFVkJ3t+TdNB4lwWSYql7yZ6Dzt++6e8j
5l9fdZ/uhC2EcH3X+/1NWzWJmOZ0pIwdJJHMKGzy4VxdPpBX3l4rOM4oi2bK5GmkrkMYN3fXoQHc
GTKhFxwuKtR8MfgcA34HVedSIo6l9V/Lv/lZfl94oYnhVMVMgLzf+OjDKFN7TKFV8oQX6DtwgsOe
WUMC6eNmjLoJEKes//OdMH5/d3Hg8Fatc3pMIB+H5DE9ZjNijzvh4KTWnTyL84MC5fndaw22TGIY
1+c9S41r08vmFf7KYmyt1J8ems5s5L6J+2UNoAZlpMCKJf94c0A5g60IE4fFvXsf8v9FtqMTiL0Q
o2efisWj6Nbt7IsRo2TtJMZogC4kV/z5F/nt2XTQRfA20MrhERUfL9gQOk3RPy8nEvnEWwe6LdvM
TcljOq1ik39+MfpGFioQn6Xm4y6A1NnXaXPPpwn//F1WAn0GQccpx9ZrTkl/vthvt5pv5kH/WC31
7Hj2h7euyDWj7iJ9PjkRjVrKV8WTxYvIKfHPF3r3pP7yyjksl2vxgNmHLf1jZSRJH5qc2h2pINqk
u9M5w/WB5nUqf46INe7OdTbQCREx9KpkTFDFyZoBLUKLdRtkOPqQwLQg4JqpuIUYD6La4qLv1DWH
VhZdLyvU5dr9GBsST/cj0q47VULYLf7pQuzYBuUdDVPfxhn1sRRKSyDgLiG7J3NB3zmiqDqDcEv3
sT7/46qLS/EM4Po2aen9pt6C/WmqYYJr1eK1gxWV8f2biqhjzZyqM6nof9s//FADIYhhPQQvw3+T
xfXbXWLwYxlNa4uT00ziBxSA4dSKyH95b4g4bkdXp1kk2c8TLI2/eUI+PiJidTDhZLK48qoI+2hw
FxIBMDr07GSALykW6MSewwRyBo5qEdQ2ER0FxTInb6fqyPvxY6TKpdXG6cFUM0pn8tznB70v6CKC
QWCJatp1sC16ItI273iotnC6DMyxkd65atZK/qYxtQ8Yx3NknLlnEYfEdPWlXR8vqbEZ7GfVGvVp
aGfm4KbTgQYYJ1pjXYS48kySFRt92gyxu/ViJJoXW19jDQk/Lu5Hug3X1lEaU7XUuatmQyN7xy0R
Xw4KALnuwsW+oS2tl0Hn2r0P4Katb1QOAwArSL1A3pybhQP0kp4AOhoBtDebQUtvJA1Y9r5JbUXv
Wx9g0VtLtloOpZHRPOprQxrfR/KzaYprwB8JWa/XZigU6ORuAJYRE4bT4PVwKlqUSOr9KDk4Q86p
qGwW/t+lcf9dfBIHTOcFczSbTVPzriWltEnEKDvI3zkBzxzc53by3xUI00M9Lfh2UfHL6iaPm0Hd
d4jjiy1ye97uyijq/KFakHtv214ZTYhccnrIdXx4seNU+QMi3e77hEZ0ocMLVOCHhQRBAMcw1lbU
KLnNcA35g3x1+82Gz7s8rgIUdIxmJm6GlWhNRwPwOJlGCFVCpwa+yUx0pnNF2A+NcK+YHWuHuYe/
kfitCMfEaJXHZsp67XGqUi7d5Au7lq8jq2V8KK3OvAUZY6sHI9WIsc95XJI7zqsgjozZhTONvUYc
h6HtXKb4atCCpS5JhHBMlnB7iXmCSuKscUW5Y+reAC8wxmMC0TBiXzWQm1etpKfF/LRb9pPkDEuK
kU+XEXXs1D4Zpd1KIJM2D1iZ4D28amnL3vBeB9Cz5+mD1kirIXGQqJ0Mx4XfGtEI8Rq6bdX0k5ij
6A4WK7av9xacLXs+jJVMxpPITPsthUsTEZHcYVr812sFWGKlI7P2ji7BJ28lWdMtzfnZeDImI0Ei
yK7YBKZCeBy0js1T1Hgrei6RNr+r2a09cyvr+q8498YhnDAO3f1rNAMS6y2yrbWQiAW1nVe5uLCM
bO3EtrTnN3XG8WcydDrw79uf6/Q0GRN6V+6N7TKP2OR6ysweYLPendHh85oWtcakQc6CH1aQumOF
mW/G6X1XNnwQQ6d3EtZwIB5wwDfTl35yLQ0CvGvn+YNX+VN/sSdpPDlZVpIBSubK/MPTmGTsMFOa
4n42arrAyUxtTGaiMboF+zFjAFLaE9oVPCswsSJsUzD43E8U5rlCwtkqWNYbmQ41aq4oQtQcsITb
2QmxEd36WdKUBHpYLh4tCdwgJzQCE602OuTKo0GG7z4b/29O+v84J2VX+cuO9LvpPe3IAEQeXKe/
jkrf/9x/RqUMPfUV28YG9YHp5jP0FKvT3aR8/PeM1OIf/z0TtfT/YRZKPwN0C8FQLmijDwrBPykG
P+7TiPI5DDJdBaNFx8L9ULf1uoLjNSQxqxawEhrn897K1hmWkD57tA7b6xvOoubbCtX5G5Ww4304
lFD94PYzUD87luVzXvtw9dQlhDCvuxxGF/k0bgxtFpQoC8FScMS3FfxNBc0IWR2yDzZWkJtiM6wJ
RpWo5mcCcXFmMfdAeFflDjRV34C8FeTrXIJ0PuJyYLa9LjUMNxN4R9ov5yh1535XAoWBmKoIxXHR
kqyexGgzJ2LKr+9BN2D22ZubFMx1m1gEgWcUpQ8Mo1ySI+BKeiNsm/dol3rN0yGuIjpV9sTv5gAx
ueFjAtZBhli/WT5Z9PTEQEhikjvOtEiNjZMIDcOznOu4bx8NvETayZuSEQiSxl36PsRW7ISj72rm
iz5Ecbor+niC24Tj1H5NdB8z0EoiVcm5UhblxmbE3jjeNSZBuEg4vTG+ksCbeGEFpS5+GGPdoarN
i0Zs0rjAvIHCTOlbLWEefzTE+m/G4Hbdz1Ob1+XeaXRqeODaiLUg6+QB2jCGaAaSEsvD3ecYMdi8
wongGDDvjr8WpLbfDu5c7SpIs+mmc+eGAMm48T6jQVTarjRG9IdlQwqKs2wV/2utN0BgZs1wdb1M
74Jcj60DKjkD5xkW4zHCd9nKexrIcl+0hU50hMfm5Yd1O3hZMHC+P7fFGDaiQcDDRIkHpnaJN+jT
KtBmgn4HZ56e89rOP+vJnG9cWSaBxbAvUGlu/9DKKXvg3IAn15+aLXmAfphAGj4qYOuvmY25BYAw
Nge3LY+pX6qTiPA/GIYEl5Pl98NE85/uXuwSy96ADxudU1eVx8mfnwD0Du1G8/3uK6mZ0UMBKXs7
QV095rGDiXlUxZkuQbdDwVIEDIHlczVAo2k0I9nHU+V/c0gukZs2arO7gQHiWzzgfwiQI+hXf/ZW
jWJmaCdY1PypGWnjfduBYx/J3HmxTPmUabX56sCgjwMQ7t9S7AIvjsdLxWRXhCRHACfMiwHgwwRa
2xp/RCjl3hZsnzu/rtAAsSaot3bpCL5kEzWSUWzyejwPIrFvJQa20BpIYkR1H1WHlu33yMjRuUSV
a7xC5iKDxC1HKulRHf0shy0sZh+FQNU9dWgKbq3RrsDUFdaZIKjpyqxuORRxbd9jHDKu+G6zz02Z
ZK/cUbmfpt46E0ItD31ZgnFfhPxWx8qJgoiA0FPaWstdY6vhhmBsb8tMzoCPV3vuw5wptldNs1hW
CBy7eHNr3fsLQcGbkVfiICcoTxsCvdNTSVLFbe/13c3QWuknCkfgstY86hdCoNOLSvLmCbzO+Ahi
rT4xFy53ACT914pMSpx2jjoru/K13dS72Ulf3MUMjSIp7ujSRscaq/FeLXrMScT3wrYZ7J/2gHGS
Y9T8acqgE8e+dizzugCkHl0YtoKB7xN9M/oMkY0yPprI1WYbxXPkW5s6F/33HogjDKtSHlY+3qa0
Sbw0jI7EgrR0QzPRp+0yOc1X8hX6s96MaSgFBjWnFON9VtlkweTefKja3rqnETl/7vEyf0MzMdzz
g0S3E7Xvp8WdjdVuXGx5T9S2KqaMwByR7WuRQQos+ip/hmolOY0YvC3a2IS+m9ffCQtRe4TJaKOn
SLd2kzOtYuBW3ZHTht1moHImHg2ym9fZ5s/FTHwNXVrU8yjjbfPRQ8DmHi4Y/u/qQflXszLjz8Qy
yv0CfTCciMpCJDyn+gWdmH7xVe5ftaow7+dp6NkouhnNSrWafCUYs6avyUvhRaUhHuPDA4qOjm9E
Updy8DjVFdR95h/YsnurvPSki6PXZ6nBr4rahDLLbITx6MyFTTot5BT0is78jWn/1PKlvTbd9F2W
HTpMzF9zx91NVIkn9hLaq01lfsmYchxlZ9PPEmn6ZLRZ9xC7yr1y2mQmSSABR7E5b567svevk+0u
lwF37luNPpMdzRgfZFo18MJQ4oPuHOfvcPazOeBYhPe5tMeTFhfDPuqM4Yo52ToB318njE3zMuLp
vZvsOdrOxO7sLeTh9+xs9avj99VXT5Xuz5njjdw4qkPa4cffx3zKdkzEfeBRdTjisjzPU2dvXUNX
gVbxOQNf67SjZ+TZuNE7ObzVGEUlWg6UNOSPaFSliWheIpLJd9BGq6NnF2kU2E6W/ywFJ67OH5pP
Xlw6zk5UcfHVimNvXzZTdOmNyDsPHlm3clraY+J7KFhzHKtQ09hPpFDyqoQOCsAruktuzGrXe111
aioNv6yiss5Ebl9HwHXMesv+E9Bczkq1P3RBR3Ie6YPW2N/XcefdLJo//9BBVParS5ztGiFljBhe
aRBqbecVTxdLT65VSC5BdpHEN6oaY+gSRTtiAyrw4KV1TfWoZFmCOpF7KPI3WWR7e1dV78/EmOIn
9TWURwZgLNyp3ltOQzzUU+uNmVt10eLSfvTiuONgMVk3o/IFy+Bs3nFc1wPyWS7rDWTWaBn7RfV4
bMt0TSE0LxiTM/CyWJwQvFd3VWxaz66nht3kajJsGhKANScrkURwRKX7YTKgTrutVlk14iO9u3fJ
8PqmklZiXFD1su3HwX807KwOS3qvoc4J6gmkRiKCQqvFXR41gCvNYfLvZUyWGY2qKhh168aLWnS3
TiH0S6MbFyWc6eQr09txwm1+YN82FdbV0T9EqnEPqMjqoJPdTGr13N3Vi6zv8rluDpjRzMNETFoA
4FoLxhF1/j4yWvcTtYD5NFl+hp3VJsvEK7T+tSCGM4zy+rPdSHenZf69ZRIQwffTFXUHqA5sr2NK
bL3KcPvWrXZ0SrND0iXAibFpN8u3tG4LKEHEO53MftraFdvbnHtQzWPRhUWW23cRtWlopGzWPSTA
LBy91s22VrNQf0wswleL9Jgt6uWXUidiEBWQqAPU+QK08VyC70SLj3ZpDrXUcA94Q7xb13A5yetu
+kqB5nRM2D0KkDk69HUWBTFeNXODKNrIj7aMjYAnGylCVSOjbcWU2UyCK8rXoUMjoeXjg0Mc9mZc
rPHo6DMKCoDlvCe0Rnk4fPc7hW+yw1dm7nNy8y6MLCmmJyrVkogOfXwcdBk/63kln4VJDSjibhGB
TcrTbZ0r/7zkDtVKbEdHEuZIRI6RPqL8q9jBsEWDXeyHdtki4MhOmfL9Bq2DkfaUmH51KBoz7n5Y
wEw6H+UH/Xuv3pCKdBMN5PxwLm1Ptkwa4pM76yJEO1/9pjW2fp5ikIub6ZSU47KLKfw/L453zoTz
FDvYuHszvTLNMPiW4lTkrvEFjqC5IQ1YBgQ4089yC+ZpCwLtWXOJCUc7DpAVYnxtLW9tQkqgq917
tSBZIBmclYhH8kBD5kClynGvWxq0AZz6E0eEcyqNYiez+JnbYoVkx4rA7/x+a0mKG02mpCCk1oUQ
wlejE3SUBtWTCJHLbZ57wCwLyQ9TjD6ZIPjnPewEcHcB4sRJY4Vl74VJXM4nAmlvk1mYL1aLSCbw
pqoIEGm3ocF0Fy/RhH4v763tUs0Kk0nBmBUD7ZJm1utMA3efpUtN7Iu398kUv52cJA+wV9Hh4fF7
0zp3h2IwekL96BxqQB4n2+z0S1LIdDvEoyA6vWWb65L0mNYuYo9OLQG9fDuYRT9ugM3E1xLlHv6Y
bL61db5c5slduqiCc0LdqoBufPc3vfHfj6VwYdHqAvxxsct91LsmkZglWOL0mBUgScngAafZLh6r
tE1Iz6PQS06k1FIlWzZ0/r8c1/+L2PbDlIZTqQPK3ATs6tlY6VZV9F/d3Etatg54yfSIor/9tmQt
IQWpTOA2+PnDny/1YWyyXorQIf6znn5/l0OkTZo5yEK5VG2S28Y7MqNCm+Pqx5+v85tjfr0Q7X+f
hgMybFjhv36nvJpn0eZufOzraA4ZW4qj07+HqabqDvcFw6HBT/SUm1681auhnVWFDAwNP90ad5zw
6d4/0v+ZUP9WZ889+Mvd+y/9o7L80VXq7dfu0fuf+k/3iHxyVguUSFCoDYZgPKL/TgTw3Xf0oU6z
ZdXSv2vw/yO09/+HYG9My1Cj19G/y0PwH6G9ReC5bxGXjXLF9vmb/0lTCfPg2rn5y5QOpiwiCtNl
Q+EDApb9IKiw2McKJUr9XOpalTR9YAg4zwQrRQTJGlO9y4VFwgSmpboNJw1d0s6plfVjmiSLScE7
iE557i5kbQi/2hBvtnyaFinEi+EznduOnfE19sz4ueDEFaSxY38ahFDUINiLlpFo0TCtCCVA0a+5
l5iNWQSDM/n1XsuSHIZ6Vp5BknLqnOx72SrrqzYSxXlGzUyVKIDc3gwZWa3PVh717k23rAVZL52R
XVAUVv89exf/m92EtnoF01I4LTMJi4Ch563V6viVXKt/hdYzolXuCfW+5FYK3LhpC7cOc+7tI+G9
hRNYJkSpXS2j9NlIZrAx6KcXrGsZ8jxC6IlaAlz76IgeC62rkr05Zd+xY8472mdrKDlryGZAFrrP
zPRpJinlzoE+nB34V6wLAZlRsVW4bg+qtFS7aek87pShvVG/TBtsYcVItJbLoIGc2F2DdAQcjocb
CqFbY+8WZAoPhi7ty/B+FFW9axx7tnpUI4sfvSyF5z7W6/7Sqtn0jjDuLG2bdbUtSfIRdPbdNso+
D0SR7DTLdAPORy6/QT1sGsypJ8ev5Jm2DUaKvhjhTDtMkdGJzuNZ9Sr2Ai2uk52bOssDfSaR6vso
Rt2bG5iBVIvayFTjYc7GBZelN1MliajBDjlH0YFUAPNzvVhzsVk6bXnypSvFhuwGNz0I2mzyJW29
vnyOaYu6+q5nRjNpu5HA267bo62ddejGsV0WANmknRpvFEdtzJ2Txsa2JXZoCMBmU4vrAqWGQ1+E
cxLq1hHt44OXRM7Oxy4Q5Hk1ZkFq42ESFf7BxPEVwCzVeRu5aBa9Mtskk3iJBoJLKZFKzX3KJ0JZ
bfNId/Biz162WcZl46bVVTRLE5CTuCe0KjpxAglLJpvPmpbcT9BJNi2XCeNlUhtAeK+GPpJd4aZR
GA14ymTWHRtC/HaL02Q3TaHpx9oWeaiixjz5GvOCnHHortOAJhViSk8CKRI1b5WeNTkvR73h1TQd
aT77s/mlVBRDjYGhMEuUFgiVDWFVukqd2NizI1O9ry3TqBN92PjcoGzdLkuh72CA75Ffcxyr+1BQ
uOQI1LdpoZVB3Gi0AYjySKiDkx/20nwGeEd+MOpVGlU6BRt7mBfowiPXsJ/jm3ItZJHw1XvCzB5V
qnGQqlJjg0w1CkSbGXd8+uyc4SfHXYxQ9IhBqP9BuNC89RLaQi4v26GpB/iADFjKeFGHqmkAE9mP
jSUfci+9WYyIuWav069YnvBJ7yu980+EWzx0PmlFS2FuPX3exRm/fuwkgTeI565p9t48XTJTm8iX
6KewraXaDdHSYWETL9Ch0ZeURbc1CvlDCr0FsD5yepVJ/5hq5cVrDCPwFWlJ5EayCKbeRdQ4pLOC
Vo9OoMvGBENzr5O1vSvg4iOuH0aerbozSu6Hs2duxtki8aFlt/IbfRxsJqbunxyWy1PforieIiu7
Jr7KDgAoki1vxRpV0twPWbfTPL7UUpXXyRPZm1xXs7yPXErYrNPOdW2Kh9RsnFNVqyTghjESm2r/
1W2Sz7rWMQ4zp5+JKoxD7HaMuFM6maQezoGN8P0EEsTadSzr98risELErH/MM/chctp7bBR6yDLh
natMG1187I76xLrSb83BjYZNbansmpn9EDQqV3udGxXqVdOjiLaTB2ua/Es76bhjNLUVWfFKap8Z
IOmGqFVwsCW/E2+mu1nK7qFzgMWvjKCo17OQ9F+Lj1eJt0SkJEUm7A5NxCHP8Pdppp4kjLnQLJbo
cczHS601bTAZKnvmQPtsxz76Tm146xb/sxMTQd3TdajJGw9JAMeJaY4hPO5j5WR738wifsVGXFer
954D5bfSnu2dTav1oCvzqY7cnAc4RwlbJHI4282oXxPDeuj9+kZ2yQtneYIHySPVKzFvWGl3IBG/
CH9Eui/sIF/X0lrz7rzO2ncp1O2JWwdCCzNrwDLqfcmj2PgsbQ+CuOXyqmkcXHBEX8BO7YYmP6Gu
UKE9NOa5Jel80wx4smk7VkmQz9LbQ/lajkmlDqrOTkMa5XslqRtpYNYc/7SQzUwGS+QDY4IFhaxA
9OKb0Lhf5Nhp3pXug7hPijXDzW2bCyHRGv7eodqB/k++1pMjgtHs8Xw3a+CIfDbEcCiJ+faHhY01
88Ew4s0d0NHBsim+DVN58L35c+bmcjfwfTCeVHlAWFJ6HmbSKkEyhWD9PTOIbXuhvSbgC3DEBerA
FP9sp3Yczpo1b7o+tl6jqq8fUB/l5UZD3F/vvJyVaSis8i7WBkYCVZuQu8a+VqdjeZgrO6PratA1
6ev+xiQOEZeQyfC710lLtrTnRBvX7ZmM1crxN5pHdwpK8gtmn/JWj2s82xx1BFQqgBP9Q5lp3tHv
8uU0DdazmPT6q9YOWnyICrw1oe2OVrexpDHixWcCNhzYZ80dHdJv4DbujMSFQCZG9dDZ5d1YahoC
BO2+mJP+FhDyp6612rCfcLI3i/PJ64R8mtL8ZGqYpxC+DVuTGNUvLK/iMMIie1tZFzt8dO3RmjRz
l1VDsndIYNt4Xp1jABZ82W549Wlg7Urd0y4xbrcXAKLjho6b99PpbaJlsYFs7MSSb5Xnzo/uqGFE
6r1XK7c5tXqF+0JSXLqFAKAHADSzJzIldfw4iO98V8KBs8CqTmJ9ibhh2YZEdPLs8E/wXvPxYibg
uyL7Xrf511nX3AffL4dPVjfsdJwcV5CjNlg5tmw3qw3c+2krEkQVrdjUeivPoMSqQ9bDqsCVEV8M
Ux5UHuUB2bTkofU+bv3CpPcKtLK/1xrLOyyu03zSFv9Q0b19GmCOhoafYpL3iTq/KZX63uTeN1Zn
2nBYXrdoAPpnmBFnp7T8fe3DU7QZsO7AS7JBIM7YKpM8icQ2ke/Q1zVx6li4uUy7uQG0QTCA6uab
QtBCGytjIli8+Sbjwgj6SabEbteD8cgC2WE47C3CQhw1JnIvyhhfTiFyNq9OK18bpO/n2JntUFIL
vqzExBmEnvRWaNxsPZL3Y3xFkON8FWmZbJpFxXSAE7iJyC536Kby0ARXilcO4iHc2ZMLtp98Q4hx
lnkbcVCxeG/Lto9ORLhuCyoPgJ3pECcBaBB0becWj03IyCl+9DUKUVqF0g+KcngBUHIE4fYdGbSz
bwi52xborXc9AYeYmypzs0w2HRSh77lrJ4gNtOdRQmxlVWVERPRfBoUd3VyIHitr8pRsCUSyjRr2
v7w6JIIm6BzVijmPIQ8WRpVN0mYQ9vRxF7XWNUsyC5uZ0+5lTZ8pTQpsqAqeRO762BSTUA5N+9Am
g9jrxtdeJhRM+Gl2WRE9o1oqNrIxgY8IC1JsXW87u6U1ltGucOZy5zbysJCyERTgTzcIs42gYvIL
SxvAh5walhNmrBhwB1pQ9NSWPPnCWPfGocAPdY+fmDjfZ8Bk1Q5EPc6ytDiPDmTMzPAwYU6UhvQX
yR+P3Zo9UVbHqhIPPuakPQOtb7Lsn3Fl2beaQ8hRwTnFVDahgfhog7ZW25rEho1V2+1Fa6eBFErm
zYi2u42SBckaCtwBWji2ulkTiJthKVgV3qIEQf7GzCqUWcXyTGceRx0+vyCtopSWo7E1JpeMEMy/
u0k6zHQEg8LJi55dQ96A9BTXVkAZ7pvyJ8UviZBJtzOypQoSLQd0Igassl0SLqRCPLcgdLYSCDBz
3tKnl0mxA6MN3g8xGpc8ZnGZx7wIfZ2RluNFX/WujekiTrDnmGXcNzNWWr9zDLAzLlWPUfu3ep1d
y2nuryYIhKJqxmDp2lVzo89X6JQnDa0EzMuKWJFhwMDhu+MNroHvFecNaWiv5EG9xbWzd42uZ+jI
NmxmOc6s5RgRRrTD1biXyU/Na8i9cDr9xuiy+gAw6a5JrXM5JSyPSeMFjIX0EExTRb3aWntLDXuz
orFpZdnZMyw20EwHJ+w9E8tIVFC6vE1u/y3q469VlfP8VNZ9ry5uFTE7XhS5lGX8RdPIjumFPJJ8
uQSx5d4svvfZYzbY+n61z9kcN2bs1deIPNGNVuoGGVv1fTZSnWldpgeqX7p0Qxtch6NajZRn2l3v
NIO3yYtpYUvIIr4uO0GDdaVOwtnzumPLE/xlbpMfVg4c0IpG0DGW2TEdE2CVCYAtXmWVFdUuTY3i
ypZF83WqLEmBVwHgNZO2vB+x5R4GbWpW3nFOU1OL6aCarZ4EFbDdV3M0sHkinuOQUzfPY+9JhHLJ
cKSqzmGIJ+UepJAI63mJz6CnnbAt+yey+XDkV/6t7/XZXZlqxk877frzkqTOqba89gB+Kj/1FV0x
exTtkygZQHqt+cYZPrvkpeCAH+u3ECcHgkyr+Ia0JivoEe9ckByKHflF096qIIpnA6elwRVaqFDF
blumD5FV4hksLbGN8Z1uihVImHYq3tLb0JBH67dwLLGnw+XZAbWKbh1s5iva6atXIOMsTBfTt+QX
o6i9wPcoD202H+12wPY6Dlfsm5QVXYKROfe/wB9Lt43n4hsugDzBmyspg+jPjzl/fedDs+XdiZ2J
co9TfyhMxp5qMsGQooFLKl0eqRuPblHi9JfFELJc2TtWc/BchV3uGCABrK1vOUx5D32miT1HYTou
1pS9DrnvU0kLPb+wVbMLjZwWrnPnn8uu9BhYZ+SkR2BB+rwINCSTm8owGxDSnY6EQKaHLhdGABUG
iYvq9DNzDIWYwvrZLP1lxsa3Wc8W5pJeDVb3HQCYgiBIbiOyH6wLubkzpBwDDVfixqlStc3hAZxH
kQHewhybV8UldtyXyvO7PfV1g5CCx7+bprA09H080u+QCmZYbSczdDQUqZrXY7pO1Y+lqnGiqsuM
/pMpQ4RC0sJT3nDOMq2S6RiItFElfD2gZIT+BnjTWZX/l70zW5Lb2LLsr9QPgAbHDLO2foh5yDEy
mQNfYMkJ8+QOx/T1vZAS7yWlaqmuVdVDt9WLZDIxIhgIwP34OXuv7ZrRIQEGtiWb2aVomU4DT+pa
I71YmbpjjXSF3FAAfu79jJGEewyc9m7EuX9M1WQxVELd0nRPTdRXO0ePW45a3MmoRNddT84ST4N5
Mwtt7RkG0EaZ2XTRDOL6F+gemM9mejv3Xr5uW9DVHHTm6rl1DNomwzCg/0GjyNp5saZ44hsBxsq9
gZNXMICD5DjYGSCmZvKe6QhsRJQOpyRA/+g61eeqq8P7LDb4IQN33w5tssGxCmJIOHf+HHabsRHW
xlbmrlOuv3KkhMBFoWwQ++5PKw442WMZJd8C0d6o2TrngfeGGA5V5Vsnyr3ugu+wahqOuSlMZTFn
a1WGmzar4MA12WZu++9Nt0CVjPxT0hrJtl2kowvOOrfqmqZKQK9kzsJ4U1X0AhKBWIZV61NWZ3cy
YYFeKy29EZu4498Sh2ydDGr6Bls2SWVDz6G8BzXHH2InB5hQ4h9uWhRjoNQ2CTGaQ+udm1KcpekC
sBmX3Ly80Du6ODi4Ckh0oN/8lh16ajWE+FnuHaDL4QrEhjymJNbdBaxqTHKUkG5JadwCGR6pyLtH
A5ouo8cAt/BOMt6TaxuJdn32OCNMLB+WBtbuhKK1VgiMJjeCZQf2cjKvNAiVzyof/byDrc6MSurf
RjL/1f36/bf65q38pv7X8sZfKC5Y55Luf//6nygUf//cpfv9y39sqy7tpnv9TU6Xb0oXvJQ3ir/V
y5/8j/7Pf/v2/i5/04nHhrNQT/7vxJtj9RVC7y99+N9f86MP73wgBIatf4GBMqpikvR7Gz4IPtCG
CZmu2/AjTaZZ/9ByEk7kg8cxMWdiAMF9xFDoh7bT/0Cr0VxehqztvUP/4+v/Prf6K20nJrRfu/AY
m5gu8W4YTDAc/YnDqi2mejPy8GNkzyNz6wLIe0bw5UqnptUQ6tZbgPPVRLylXqLh85iISi+R5fXs
Rex8QlT5NjLT/qsPZPt2jsaKbSabajDuOWdWXlVuxjrqdmU1V59KlzQP+JTWrUwHiIJw+u3rWRTE
Z+ZZGZdsQoW3T73gARBgcZEIS2/N/q2sJZm8KsmfCCiXr5BXFt17XxDul5vN+KbAMo7sm8Y0rww7
tqLNCDtwhKqPYnTbeG3+mcLRJgtNLkHkCPSjLeG/aO3gYKlVVIT6Op7od+20Gc3OxpXYr7cFx1F7
LREWoNoIMnvfEgtPfyiJkis78/tga09+6lMjoUlcM2yvvzSqwYVNYCjE7IlxAPTxMzz74QsIxuoV
7jpj4z6ISasf8vZ+ajLoIegaVmlm1Ty9etfrsll7mnDLMQ0G+sZjfefaE9ywIRjpd0zl4NNgSfOb
wC7HewcMN/VMt5kUZn5/0GwApDUhbCHa1UHtZ6X+nWgVkoHMLr+MimOuPZbBHXag5hh1WfeAhE0B
alZq6wyTfYhmHB20mCEAuh1q/2ya9ZkNJI2OsxLtqceukK/M2A1JjXBb/wqwoMWQ1ZiKJ7ts9IOG
UbvKEK7j28t78ZL6efTSGc14bAaXVRIV5dUws7eSIgtMZp44FQK/uMK6oJ+LReqxdkNik4ZItuck
CPrveEbmbBVPnUFsPc5QRupVsW0wpmSbagjZZ7E09deFMcLDhC6Uv7VTVmxjcHruPk6JeaCcGdSn
jFS9Yj1EbdvAJrLjuyqgGX9gaJVekia3ny1oT6j/XD4NO5Z8YOSa7XSbOGdhZb25SnSdgEbuUONM
dbPBMdUehkn0l5hZOQqXbHw1qliebLMMvw1y8OXOM/F6Q3DAVLNFehleQqBQA1mxcW28ZLHt3dFN
xKfTB5GBwAiswhenqe1wpRMo7JAsy03odqg8SlL5+B3zj3Dfkjt/zNS1ElNy8qXVh1tRD+1VElUO
2dhTXDJ/z+pHiIGUjzgDUPWwCV+JOnYgzDm63iZEHN1klV+nCmEwT/nLWInMoSqJMSNzeUYrMJtT
yPmDf9WViDu8AmE/Zd5F4WEwi6vqNwOBpUhMPpQDQoCoJ1rlQqfOnk4JiSmHdvDuBExOTpH+vKZn
AXjIgfE4En7Zb9Woi1eAyNNKFFFfbHzthGh8G6te0/d2H7R29UKLFB0dq6ldJxX1DD3u8apzvWTv
tGhdVK2W+Ql4oTDq8y3CNW5FnpdLpEZg72nfFx/HaLDLK093Znbnp2ouwo3TzNp8cGZF0mnBtlu5
NFvBSg5aPjlFMtwbeYAee0T2erRlf+qRol3XTSP3ZbcIpcZi3qN2me7bOrDIkIb8h9woPgaTKu5p
nMhLMWTj2smzdBfZYbH1iTzfEEu2KiPOTqJNbkrYN7rsyPzoUgaJJwImeSfbaPfaj9ptmCLOjRIo
eZlxyoB7QrMzV8R6K97GGNZjq5ynhJbKMVKyXgsuy84PA3Wbms5rqJt4g+Qn3OKHMa5p0kUHhgoj
4cHmc4WYaxXFFAb59FWqnikd1zDqzHOGEmtaizA3d6ZKPo42zuQiq59oyvnHMmi+wNgqtmNqXUxC
lTZRVzzFtrz1hiy769rqxYlcAhOms59O5q4064c+Rf9bjqT3DCYzNnPgTEoDkRQSjUH/4CciX09e
hbaxB22zmhPvGkyTOklbnemg0HUNA068du9shEL+uALyDYA0zJMTsl4n5es182syKnUdjoOz85DH
o293AJLp7sqMpcUJVFcXc2zrveFWZDtMM3fTVM83E0PHiPsHJTBup+a+nabwAhonTzZYU4v7nGiZ
Wy+UX/0a8zaSI3Gey7DdArcJSFxxR7Essy1hUYRvxI++SU+BYTuxC6NrbedUAWfx4ukGmSK+gV7I
j3NOCJLhOurGCtN7V6L6Ax+Faqvv1U0pOfbIsigf+iKK7l0rAqOsZbZykVpTKvdnArSGTW7ZCdku
0VvCVPcep9twZ43heE4l5BsPCfqDHtAGdTZCc45p61Fz62SG+ewqjuNEQ+Axy8ZoTaZqvbFy/8sw
9uoSECG6RoU/7expDncL6uY7U9bqhphNpWdCyTuHmFWplXPDGmNcZXB88eglZXtBoVVsWqyGZ9un
HeJGVrMPR5V8cYpisVvUSq39XF+4CYubkCPkXeZGmAZIwNgybODoIMw731EOTc6MOO3Ztu+KwA4X
JisnyUF8QgftbVth5A8lx7iV2/nWc1c7qERxQXJKoiwgEqk3PRQEfrWbUkBRUEi9vWgkc8keaomr
hulQBel49Dq2yDGfvaNRCE/8pgv6r66Ar9MvkozV792vNe97IffPgvj/oTrZ4ij6l3XyNQVEjfn1
V8HK+4t+FMoQ0EMIGxBtUKT8s0wOXQpeNAXvaMcfZifH/OAxM0GCRYQMKqzlw38UyDDWTXzzPn/A
5D6hdv4XCmTkob8WyNiTfWsBRdC1Bn7j/pFhIoVHABvJy6fZZRlZEVPj9d3KAWzGQdVz+lczLn1g
cW59SZtpeWSYULcB0LV1FepsK/zUfMi6fJ620hrz2wRZLkmNBjSs0Jd72Ln2idAlwTg+bdqNG8BA
QE0VOjRLcvrhEzvpuS+GmvUMSc2qtoorolPyO562YF+aYbKPwGnvnRzt8zoujWgD39nbz2kij0ho
vGsqUVoSswInbGs8xqtyCKyzP9bDp7z0JrY50GRrO9GkDRlLh62qo0vdOkS1pMYwHrX5Oc/n+o3x
WXA953aEongMOhqtuHcHJDO7PBq92yEaA3y/XliY6ySqzeOSVXPIpWV8GZCDfvcbKL92VgVHkgLl
t3i0Ivb0soF8njSaoDJ2TZaB4ZTlvonRFy1hubYz61tm1kxyXPZLpvI28wYQfDexWcVn1czGF3wZ
hCSQQYRVdW6r45S2Lz12nUs2LFi6JOg/Jk3XPYRhN9KKN2b5eeH9vXB6zjGcuPRmccFkmpFvyJYc
VMBAsHSvLDNFX+6GuU+HW0hqynHQWGWGZ7SBdF90VXwuiKo+hHPa7QS6/S8zbNqr1JS3xhy7p1x2
zUlG83xuoqJfV66vdv4YKGsj6c+z8U/akvyecf7CdIjBM1dJ826loTBf2cV5En5EEmLp8UXHkGaU
iPSVSF3w166Z7AnsKR4h+STPeZei6MRLZtPqHut6W2JJEAzM4DisYBiAYk6595B2OPqaKmtWa12b
NvGMAhJnssSPFzFilvWgCMEuZhsJMPTD4TvHEk2LdVxgF1WBYbjJkuouhVu4cmibX8WynjfuPJER
JYPyuiEe8coybIHzoByY3zJ/pp+Dbjp+Im3R8tDRx87nlr2a6gMk3N4vWKtrcHyHuZk5bdAcpV8Z
VOIGalt4H5NTsB4CY9skJQOwqd94Etp5EfZfSGTPj6ZkzDpkiFs2vdITM61kPM8zqgg8uV31Mayz
6MUovdg4oWBpsy14evGVebnSq8Qc9KWfB5qF/ZSL1w6DH83PqtX3QlftJzmZ1jpsBvGWU9DR2p26
6aLYGoODQxNbrWSAhjm1JrUKSxv3StQlZHboSNhPdm8mZ6DIzmca4ybnEyy78dqXGJSauAo+Zb7p
X+fuOJl4wfLwkZzumhk3oiy0Y8z0iw0GhHoXJFX5huk6/IhE5rNhDs3GazgwC+1N39xGIgUD219X
pN5HFacJWnHrQmZ0oJgdy9fOZxSyQt/VHIEyd0veAtq0DsflVWKNzHY6eY9jLsR4k/I8061qCamS
zjaACLCmtYyXodeK0WqTbhyUItt56NpTXgv/5JqKksFOGP9LFCD7WmtWNEaG/toIG3PfF056sXrD
3depmY8bI+wihwQcab5aeQKL22Ex7S2zmdZhBTAfR0RTHOPJbm8YGkMeCGu7u0hYzlxYnwh0UvLa
ie4mihAWs0gfo3hEnhEYQ/MJW2EjUWyh6ScuLCaIzpzUraOk8aV2fUQxSmQ9jomJUjqfSR6r8QMQ
/ec4/c4IkvYT4WXDt5bC/3VyKnFtI/kvt92gAnLpXSrFdRjZLQrsMMo3gdWUDPKGCJSiQbKnMJuH
OFcNOP5wQBAhU/ieebvxKv/kLEfzvqrwKCaqQEzNKTrLWTZr4bT70SwfsXfovZJoxVM8uMz4JDQ/
iJFThbgH1jiYrvnrbPdjue2F125qW2MOrJMeVqtJPMBoEjioz07RelWHoGlo0ufZiJkDTMjIc/Ml
mHL0IAw0bdF1LxrFZHYbjZjaLE6ityKDpkllJi9eWZgXT/jxHcviiIA8n4+Iv5/o51aXFrLLRQsV
UVCnWfQ0wC17saESMFDFxXdKoD08BWQiskgNPFZkAVR3ph7LO7pcFGpx6S6OSgeQBqIjZlFIBdCh
sWyz263HckpvtBVqhvZ+i3tCleVNFpr8db3c2AlVMKxQMDJ41LE8r4RU3hWwVu8WGZt17brEHazk
3EUPTiC9Y5bmwyM9z4Bat6eLbM/GdEv0pS73ndHWYDCmiEq0aR5QZvnHmC/+BQELgXCTdPfwn/Vu
jNr5E3aOkWC71pgPsSgm2qoTo0fR6W3bRRoepst6pFMxn0HM+8ckxcFTDtldW9B8cVvLvo1qBI4s
snl0GeZoUfdYiI/qmAPu7CyheLq+i2Go7pfr+SjrUVyF2YyX0jH8fdZK4zbP+57BjzUgQQ3n5GvU
gZpNR6YYK9mODZ9jdtNpQr11b+Vy2IdTGB57odWTjOryrhduf+B58ibEk7VkkOujt1FDDG5zniZz
g8gVyLq2w/Z+oGtBvy6zwzV0V7FN3NQ8ZG3h3DKRia5nPxyPio0RaII13FRh8MWs0/CLUDatK1e5
7UvK6PuTOUT5UdVGs4ftYwQcwVlquP0SNmm6Ve7apu25S/ssv0MxNHxq6Fpt8k54r1adBrfWVPHk
JcuiCfTPSvfzMJA8KqVl1Q/VFL5A2IVy2idB0kCzbLVYm1VgJQhwhvA1JVXlwaW53d55Egv+wfbh
A69mz8tdUL6iNa8sMkjYx0JRmS0Y5CRtFl0rV7625ulBtjGtQzvgJJR4/q4JPZ++A2TqdRYP97Ow
0Ap2slDlQXdG8uI2tpu+WR6P+BqYrulu5YACFPmKt7Trr4UYMXzs65ikWX3ilrUk6qm+wtHyBvL+
lbJ3fEbeWH3J+tF6CtHOPoo2bk7gih/byp+2pd2WR78lZcbXJAP69XjxivmVBfC7kxLt0Xmvvh70
Z7CWVBCORM+sXP3qh0Z28PyguGtFsR2c0rjixwH7IRtCFYGvfLdnl3yHrmlz5j2oVqCQ6pR4Ohwk
97Y75NMayQvHxUYi3nkMPC235WzN9wm2K1itxFeVxn/P/OD/v9OTTX/yr6YMN9+Gfzt9k+rb9Mv5
6beX/X5+8u0PoQnsgU2LZKd3ff6PSYPvfmBPh67GqWg5K/0yaMC+4qPXc4mr8m3np0FD8CHk7UyT
/wOGwgRs9y+co5hp/HqOIvYKy5oL35+Jig/t7w9yf6uFGm4zMDuEvYHpsZJ2t8XFIvMzRHb3PJo4
xh5iV0FJMNNEH/u06u6TxujLfc6gLGf026P1wjWARS/SpOUt3RGrGeN1TG+Lvm2vTCa3FWTckFCO
mUWSpGCBtYuDSPQ4WpX74lX9W0F1GvNWj30buQ9dXs/3SoaP1KgMtSuM06vaKyK1IJKp8XAVXOth
YTUEWSCQhOKn7JrOfAnBMkPNNuiGVdWQn5RkQloTb/2b2WnwiPRAYjjeEBpIk8MQ4hLNloEk3Ai/
K0vSzaPPi0urL2eseH1GmYIhGBxEj9ZuHlRIKLXKmOJxod5JiNJPPvP7pxCAFK8eRC+PLva9YM/c
NazXWamPM2P0Na4CXqjcgaOGVS1Daa8My/C5z+Y2XldFYL74JWALr+nDtWuFtG+pMg7UO8RfGUSB
ziIYhhVKw2mn0i4EQ07ZsUpAlqJESlMiZgZlzygNAr3glmLjVWsbm2oHxHtFSKq4koEKzf3giuJp
ygu0Dn2sxYssFwR/PuKpxe+WjLdBUxjf52QI16PdRqc8GZOvRqEgHHMc37///dTyt+LOlihZ+efR
YgpfrSqyita+R+2xM6Wu9tQ1PWK1ZsbTwUWmcOu2JAQsqIsuta7igJI5Wekuz4creENJAv1b5PPB
U7ihd4kLbH1vzzbD4SxCUlUZdX6anfrYS6cDAJ71etelMWYBXAHeTjRTgNYsd2a2gZJ7AbHjKdOK
OUptIfNTyk2pdfFvgLAvniQU/oeEcv2lbRJ1FaDye8zACu5QwEhvA1nUPlEGxueo5TCXTejMQau4
Z6Phxw4wRbOfdESC98g519nsGlt3tlS1hxwAcsFtEVPiGPAW4TI7QzVM+8BR4b4oLPv74KGghoJQ
ljVTCBC3m9iiQNqFmdklN3lR816hLpqdV6Ows9YOzVa2+F7WPqG01LWXqAyn63Qe8rXN3G0zd2Z0
XXrEYhCOMQR70YWC3PbEfiKmMN+XAaQotr9F4jd2aRnsc2GqB/p1L25XoIVy6UAH40Qcbt8u6U2I
BGFtQ+Mu44jerBKet0uDGXG+T8oc1j28kFGAfROzn0RkU9R3ypsJVjZs+CfTBEAhdcRJxxXhcugw
tyVT9EWC2W0tAjZPGM1pD+ZYz9dD4dofyTAjM7ickDUSHsH0g1P9ylEkiFUWxFXAX1G+q2Dhba26
QzZnErK81oMyEB7a6ppSiaI7sPNzZQzuHVlOiGuTHn+86SsTayds/2xFQ9W5KuBW6c3AHOKl54h9
HQkRf5lkljGaJnth4qefm4X6AqluQDtXI12dMiBka5PXvM1EZpBMlZGreojrsn1oURlkNFxEstVJ
jy2EGd38cXQnk2B2Jgq93UgAsU1NnIA77a3WJ0IbDEKNmSRuTAgrZEo0q77oUNrA4EYNWqElG1go
xEoXg7npPW86D1FT3ydA4Z9Dvr8N4moes2NT1r7aeDPTLY3ne21M3gLHGoIcI8lC7FqZrYbKk/g1
RLmqkWtZWMmjBztnXo8FYgxLltm5p/k1kTixZJ1nFjph22vUmsj5cZ+YcbUeppIEWLPdynSyaBS1
/k09aeMRwyyLv7aSeRcOY4bsrio6Krdglnew5yiqiNfa1CTK3lONsSopT0ev7ytLm3fR93As81NB
L3pJBBG0k5anqPFYtEZOP09yKIONZ9Bo4kyKco0EJnYYWXvVfoxZngk6thweh8G6UFHzQdjixw12
cf4mjDPm68EkDoJAJSOsbti2pxvUgvW0qeuZ0AkNN0kGwv2Nrvw/zea/EWVYCzPy78qlw1vZIF2Q
336tmN5f+aNiem8iY3XFHPlTw9m3qJZ8i/lmQMd3UWb8U5fhfoCVKmA9+bZ4B3D9o+3sWEsOEX+c
ykcAfzftf6Vc+qPpFz8ZbwQANjD5W+DUpJj6CTuLCGsEjOTPQOuRnNlILXBVxU8/XZT/gIn5/UNg
foLY4nv+ib3c1T0bTBiwh+WgB0dfzcQ39P6afa3b/vVHEd30s9fTWT7K4bL4rkMJitTk1+9Tl9HY
MuyeD2OfEu9QpOQYWkj8xBJDVzBvO5RCAq+cXWeFVaP+m4//0+WkAAKfzalVCNfG8frrx2OFCdzB
s2BIVMOjVfrPAaCLv/6Gy1v85GZFJ8RHLEU0tGd0NN4fyluJ/gHpiGgPrhgeR9d+IhOyXmuw86R7
ttyl/9AY/Tu/HKX7nz+OGQcocoitsPLNJeT1pxvEjlsoGtQZB2BN7QlOkyDuPjTKU+5G5anAYOZE
Q0szMW47tjsbae2qpYNA8z+XpdwodNgr34oFJNCMSE9GfiFJQHUfInxkxlGvlAqzamW1ghyIkpaZ
pPVyRBVqf0ZLsY971YFqWco52ZnWEzpOyJRTyMrLada+wc8bbrD42httTuPTRH7pFbGPAwocy5ek
B7Vh+ejBr3hOJ7+mgQp2KYpr99btqvziuUhhewflPDEpMbCnSrCxkjcCa4YpJn1KdDLzfESDfI3M
tN/ZZfnd8YtLnTpfMDDdd3TNCTwNylNjjp9i+ER8ROZtiYhjIE1Nv8mbud3nLVWVrMTGVdnwjQzM
9uhnyW0zYUROwxpEsFXq7VAP3s2IpwSsjRedrNh+8g0RnbIkJUla4XlDZgA81AgfR1Clm0lkGWy1
Nn7sPNydVEVrM+xjslPoTI5D1B+AeUXbjLSNa7JR1zpB7xnBxT+7senlWwIJGcPHwxSHgMYyrIFp
7YePLYKjTRKA+LICwJ4NiUx4pxtBrGo1Sul9dCrfeE7yXt5WNebXbQA497EWOfmtMtUH03YZA0gJ
x9UCJ3mOylZe1wU9C6tq8x3tE26RsqV/VdfTOhsqQV9cW7s+Lcwnp84JPe/bEZloaulX1GEYO9fm
JK4IAYof04RYxyqtxSrySnJHWm9ho6VLAIgho6soSuR9MxNBWEp1heTDfoWQ0j06uEYOCDTFtRht
71AiSMFY4qU73VXjngPja5JLF3Vxiro/8+2RMO00vDeZ1+yJKJfXc2zUd7qYNhbt/2uwaKiHwqYw
d3IgcKv23BiVktfENBrddC9DR5+hueQrQjq8u5SBTBTZyIOizkc5JOJPmc4T+nTu89jHJ6eMWqSq
w30z5R8x2hAx2GdoCLCknEFl5OTU9MDRNZ0h0pMEQgU6ZrSDi8OE5P/oNqo9T7W50E1jt74tJ/YN
7mh0eKQtxea9HbXTmwJIs0QwVVd9nBnnLvasvT2GKGYLFAsItWGNgtbxN63Z8mlxvhxSQohl+H9g
xEdNAr7bCKJXKrFqHQVxuI+jaDiPWZbRLtJEKIL526vejHj26dlYjonPONLjunRz4ii9YjjNViKu
lr7XLsqI8arxzSAYT6uN5ydvDPyeQ8H8Eg2QeUkZWhys3v6Ea/vKCIr4Ia9NerI+VxoDwqlzaoQR
ERowjOHdJhr6HMk5AUfenF0bqsVJwNxqA0z3K5lDWJyJ2phWQRT3x4ge7VYY5j3Gi11Hn/SQGaC6
aoYw+znnbePIaz/CbfXpYarB2DStrHcaxNGb6skOqpPGQ1W0a5vYfnTdJlxXIofMV/m9utNGY9Op
M4NjWg42Rp0EgEtPFHSSoLhGttzMN1GRc9qzo2b6WIuguGJBmkF8hDBOLPdV1gx9rDAwkOJF9Zpg
GaaAZsLhstonbABMcE1Gw3EMp7lArnWjyuBY9NbHvITTZkWC6RJIG0cG5JGS/7yJciO4jqP8W8R0
j0az2vract606TSfM233t42DrnnlFjx7LAnebTpl4xXBBcXRKy15oGmXU/POw0s9woqlGlrSQsAg
TevC4wFCmDguWcxG8SxA1ROTOTv30Js94DQkf4uizNSqdgubMVzSbWmOYI4GxPa1LCdazy3CHKWq
dQ7R6MlNXEYKIcSrdSuLBdYwOmtiAdxtEYDh17PPgcdOh5Ye89zfliowDjSBvHXb+l98YdPr70N+
d3ouGcrzwH/kmC/2nBxK5uLOhI9mAq6dO+j0vTA5QGisz/Wo3YPLwOrWS0V+SIw4/hS42zJOp30x
JVz+Phk/ClaujeWAzeMiFY82KVxr1xQA3QzEWg9O62094NnPHczNT2PvJTee9OZnVdkbDrRDusoa
KW+0aDrMZxl3HhOzA+N0uQLmYGzYPL9XubIIKpb5DpqhOrI/Dsc+s1kzWphd3hlVOiHlG6tQ+re6
4n+K/L8t8lHf/FQV/YmBsvREX2kP/lrfv7/oR30vPrAbWgEFkvg9GvQfHdHwg494BEgH7CCXKoqC
9QcCxf1gUqkShkByjR14/j+lJahO/hMIFPePJZzrwdtxadbSYg28P1aMovfa3jRjekzQn9N1XsXu
rc387mYuhuBfrU75LCz/gGGZ5kLT/cN5gs4o0ohAVEd/yaab+4ksCzoZTxNX4Aog6N+lCSzv90s1
7HKocizUeIC12Db+WA0vHI+G2BOsQkvU4mA2rEywVMjJGUlbqboI5pw9BuIRq6L1+NN98O9Ux3+q
jZdkI5o8dJqZcCDH/7U2bg1T0XJl3Z8lVlskdcrDk9cHV5OY8bpHc/gUWebffeU/HQD4VK6WjYFn
0Sott83PFXmniIIfAh9UainGu5wF9SvxmaQBhAs/PTb/1cQG/HKCm5SP4+6ldvvjoSYzDRxKdK5Z
FqP67C/k1okW7bYMbLI+o957/evL+sdsXA5x7vvZhuMvFxcB/K/fcFLCnONo7A+6HlsknF4Eq36e
WxMF5eAQTjIxDL0Jiso5+ggqLjBMq6eqQaMI0SSfKxyoyr/AgLH0SvauhtWwtEPZX8cXAA5/cxe4
/p/uA8wTwuLZ56TEaGSZbfz8i1TwzuKs7PTB9ckAfTRKkB9nFRcMpON6wcC2sRhOtN2mgqFZ54pH
nsHpsgQ/Hiwz8bxTqgL7CJfNfYttJb1V4hXcS0zByeFY8mBGrMDJqTct0ixx24ibEod2iaN+CanB
WoHVwJAplqHJIiNv0YzeGNIn50bD6Ds3xjRe3kNjo5StcTXLvnY/B7TxJmQu89hDFmit7Cxtd7wj
fwl2ZRpgozuQO2A8AwIJo0sraauB1MlaG6qdmgxObmRwCvGNu3REby3Ikx9hLoa9cz9W04BsOyHa
BX0QkwdmSahDl4VAEtKNLrIndMKAenoX5q0MyKRsm1cUpACypWkff0ttGPu+eQ0ImLwz0fyV67DF
1b4GaBpu8f+6b4Ekf/i3kIGyj4giTbrxYoAtfnQ7HWzSOSVMIXQt6rIpHF8xzuHN8hxBfMZ7tKh2
JN+UJgTnzkIRExFWafSEfZawC00e+1uhuY7vCQORdMSjJtbxMgdt+DS0hP169E4uaazCbQtC2N7B
wYb2H44GwUKqj4gufb9XE9oRpKBSsejrNB/VV4TOHGYdly9rTX2j9mog/HFtyAm1cehHaXnMyTMu
u5VHDai3HTjE56QfwqegYT3ddLkmC6xE3+6tGPA6b7UKSLCIGx7+tgyvQiTTTw0lF8V3lXJnMOuB
icORBZvYks5sN/V4xxyDLIfes7ikPN3N6/gejBrXTIA4876n64L6OOokI1h0ABBwSQcnLAi0J6Hk
/fo7Y8eQXeNfSXLf31CvJmrdVqF58/5nugiVU0kUCOvGjJuB73qf+F2/GVD+Y3ZQ3MDJ8nh4JDc2
B6VwA50Fx4cGc+ugsU2OAUJpEwIlkzBi7jRWcCBRNx1nPnyMQZlb4wN0QQTRq4hA+n5XZNCiIV3w
ggoggXkcROeTj41YkQgJpaDy7CdTZ8OmjYk2uDRN5RarpKaEX1WJ7qIraw4ngLQgAPrJaHt0IGpO
7wbYhsOz4vJzviH0Yq9oa4M9hFYJRgOHUE2KH7Hwvct1Vo+NHSWo11HeRVU47UJYtG3Sjkc6KHiC
8ffcuMFydumHAyfUkaNYPT56EIzfU6j42Y3pxnFzjwSVRLwo02o3HL68FZAHgX0+6S5D0nJI7Jhn
fuqcPHS4vxRzB+Av47n3jf7gBNBsV9qE87kyEaEHUsdfW8WyyUDFP1Vp4t00ZhUSgjs705WohhLm
7si8D39inO6rZu6+hhy2iSU0dJxuuLlDoOPdWBEL0StGIL4fPdmV6ipmjs5HHKHGOpXtWyV8sDic
9h1cGTZLtvCXOFv5Hnk25TDEEpK6+xXr8nhhm+NetgjGTQ+eEbFLz2TegX0kXJJ5z9OCC8kWiDzB
EW7fj5f36ERc6+KmcUTzOmEzLCDUDG9jHcRPmeuxYNZWDnPczJ4zZHDz+j3kOjIVWXo+eb1BE5rJ
/2HvvJYcObJs+yvzA0ELD/dQjwMNJFKrSr6EZVWxQmsdX3+XI1ndLJJDXr7TbJo21tbJRAIB9yP2
Xnvlk4++4RotmQ0RQxxjP275M8KdkLlnQwNdTP91aSvxc94YxnJcItV7R5k34E3xQND7yUYgsXAs
KT/jWbWdbVMw+Per4DwaVXgHATY6hp7/5EZR/ZJ1zfucT/r0j8ULvVa/SaBz39COcc7blYhP6ISs
n3sjoI9GHgbr2x/dRzr41N3Ew3i0Ja64jRxrWEyRcK9UUDbezmeVdDv11tTvFqCdeeRVm3JqsbQP
eTRu0BHhdiAv2h4YRiGzZ3CjPmdC8r+vuLGaZzvyreCz740xqVR1FZS7BcZWhi8/7WGPtqlxBs7Z
89bl+DgWtlCfZtdDjagK+LGRNOGrdfHeRQGPw8IK2rdy8qhFqs72znKEp5OKgY+19klxjhEpcVio
LGxINW/n40wKy40xzVwLOYPDjZE57VfYYP4Z5T7HW+pgZVix7pke2tD0tHNdP0qs4NguRqW4kSCN
oUk5Fmd6giTpZbB4NU4X+Wc0+2TLZZnPOZiT64YRVydCxuDCQ5b7Og1zkqEP3qKKcVBYKed9MzSH
ORogcg/E2gJ9sR3vzJTHWCdeyW9OuEyQCsM8vSMRnO+SPdKSujP3eNnwiyWWvveF1Vq/vhyBLh1/
swXLz18xjyZxet1YeKQcVaM6j32PjCCzSY9uOqP9WmDRgBcsG54Ia6ntdxzt012LZWQEwBaTVDPX
JaksrKVdKoZZCmf/8bLEJUqnjhIqicDQWU0u4q+rOiNKjMnadNcN1L65N2LfWjIor+xfHSKB+xm0
2rUAEyXXZuOXbyMIuejWsnVoWZxX/K2jduFtCpZk7oOqqwxsceUweWGYHoV63zl65uC663BSRHym
bQLYqbbnR+LP7DcnEhysc4NWd6yaiYV81ic61VmET6MLQpZzk5hlRZBDy7noisesNMxT1UfGt66p
/X3Uj/604jVT5cQG8eXWhICNsOuGm7z2O/EkG8IyVyGry3TXuIp0nXCK9Ttag5DH+T5zrfeVB7me
eWBXPAb6E00SycfU60ytDF/OjSFquobOWszGZEJbwQrJPDswX4QxKxYFXJXu+OjI2OgfUaFnDtCU
MQoj74GBie9wVVX+Ak/XC+s53s0puAjxnHhUy+F+GjtAycKeHiDp21tMUxB9YC3Gm27Efj86s7XP
WeKODMm1/Uc10Y3Mu2FNKNO85T8MBhUZv1myVAxRo/qh9DhZ0iEyPk2GH5+MjmHv0EZcPbOXHxj6
kdwBeXuX9eNlZuJsChNetun6V2puAwx+8j70ONIlfm2yqkJiqxaRI7Wf6mM5kPETdpl4KMgrZ0bK
IaG9s1jJUiqSzsnTb8RC2TtvKAMk5GWORKsesPiU7QhKpvhWoMAH0XfrT2o88lxTGPS4A/2uMm/Z
hg+bwczXTjvnB2Yu9ZbaOHicnB7VI5fohvUy+EKlbpXZqWvSG4p7Pm3u5WLKTtx8OUPR1FiR4dSt
vdzZhn523acKEBVv1a1JiMkzoUY9IzRL3pQDWS5rGZoUkFO9z/yMOeNwJ3PxQOVXbFHVmt9sUgJP
8kOMkCNVRQ9YuPA3vYORLL/YtcMHonq+wju2W2O0yXszKym0jYE9BDcwDk3gKZwgkZ6/cl9xGnZJ
edXXFqBvSfbIdZtmPKR5xGkTOw1P5DJo9EIwZYQGzumYoLjQsad/3UbpruOH1tijj8JIwmABpcEf
FkX4qROfG6+Cy3Up+ofJBE2Nc+7hr3/PH7ofshZ1givOHNNTNG4/dj+krHV9UnZEyKA2RJbuugL/
aEOsn5qE5gXo1uVyHP717/1D68/v1aoxh3Q9pegUf/y9tOSZTMqpOkxJ5rx3BijOvJ2yaTe6EecX
Affzg+NEOjtn0FXuX//2Pywa+e1ar+bwBedFIFr7oedD3Mz0RDjlASYZMArA1daTp09dGOOc9l1Y
8U+zamhLdOVtKWSkq8tL+Hdi9zcTO+Hbfzmw+98mfS/a9/a3A7uPn/mvA4z8bcfUcceO9bF4/44s
Vvi9HJ8QSK2a8rCJ/WdeJ52fbH4ETSE9vvwgLHy3gklGeaSAAkpA54vu8B/lYLGM+fGri5+M/5Om
zRqZmSEjrh8frjquLVVZPZudzIPNZBvDTYNSaL8E0XTKQqI2lkvqRjkSwGHrKA47VZDh+J6OD2XZ
m7BSCO0AMmti/lD+zVIEUufA0ac7dEybsFXuDfaPFj7LED9hgs72KcfYMQ8d8XNZBR6kedJj2D9v
Ox0lMuhQEbY/XATxJWuk7avli1mlFP3A0ax1MDEBRwmdnnwdVRLo0JJeAwJJJroubS1Wy6D/GvCA
ToL+7ljEOXVWbjhyY+k4FJgEDNIDMlLKysv2Veb557lFrrhyncm6nwzySFwdsCJ01Mp8SV0ZSlnv
LEhee6FDWTT77gb75h27hf46sMTTYkJQEjrMpagVdjkTadU3OdOZjTr2xbskwLCm7u5IGGO3xOZv
K5UNqaHRVa+dmdXXkbaNah8TU63jZZC3p8/1JXOGUMNkjx86OfgtkTSjDqcxdUxNJ6z+tdTRNV2P
x7vTcTa+DrYpmp7LNyXsRs5Jc+PIZLrHpBivTcuKd6wsiMfRQTkIWCfsHCHC8CEbKK9T/oxwwgyl
Q3YGHbdT6+AdgwSemL3lWpLJg14dDZUBro5FKnGCBPe0JPjkOsqH1ONjlhLkGNbl8qp04E+to39C
P2EDj8v2ihXyuHd0RJClw4LEJTcIcXeK56INjC3rnP6q0hFD4UzYkFuTxpDoACLggeNjNYz1k486
9ppII/N6bE0yi/qG+CKMBO054dJ8VKWq9rnyLBATeMwPNnxtGEuk3N4v4C2uw1Atu9l1M/YpVIMP
xSU9qegYEcStHM5EL5t3Pn7sUxnqxKVEhy/10wRAzHFYhU5EMzk6pCmvnPit99xYyyDFTaHDnHId
6zTpgCfTGOQVPgeyonT8E8Vsi0gSM8KUt9mRRA9EWAE2Gb+wvRsKYuut0HFSdUiwVCyy6gDdAYhc
roOnxksEFWEdVkQo1VDWzcEwCYLRgVVRD4uXUowYKwvQ0DtTIsqJKcd7VNGOkeBzLOtA7T4Gqm5B
5gLpWPMoyckyQmW9uV7xVA5yeWlbQMWLDtYqGRYWmgtinGyDleBKj8RvooG7eQ3Msn5vdUgXKBIo
t6i3/S9xQNx4MfBDoQ72AlVJb8OAZEs7nl8lIR/iqKPAHHjiG0/hCndl231mxj80qy4VTx0pYqFF
nBjch31ReA4wOvzeSGuIHUOAlj3YJJE589idnGApjirNy01b9YxtOSzf4DPFR9fOA9zSst64LRFn
gQ47q1pT/bJgl19LckeR8xGKluh4NJdx87NbVMZ9ZeXlmg+UHLUmAoZQO6K6Aw4I3Y64tbrRyWtM
kmzEwAQO0TJzY5NrlN0POq6NRXm5SYk7uE90mFvBjrBdoz0cbmj9mi+SYYqGhG1Gc3L3pY6Eg8zZ
G9uIzOJP3SUzrrrkx406Sq7QoXJLW6Z7Y+qwJcyzTfzeMDl4WIwRBk0wQ+1e2na1YFDzNr4/PIcQ
R+BcpD58yCasOeZaOmu/asyrsKIsJN7X3AoBnQNHjcc6d5G0yMBqOQHMtd8UDlyp+DX1RhOnaGtu
SzOpAYyk5efMiYgPLCP/3s4954gMGMcpEoXuPtbsEtct1nZRte/Q18nkMG2PCtjJu3WVS/OGmHFz
7QUIhleWlzk4P0r/xefWuFlUFL3isovPqJ5/9rE3HrgRF/yC7XADXZS50DAm5zZBOtrNhn/OmaHe
AVCorxNzrF+MIM5u2jSvsJ21zFJ8mHBs/Kut3dbyNR1z6+B0/JVN4JW7iLCxX5B09AQL+dW7krW+
XBhHfdJ5IM+dJQZQzXHq7yDthix+o3RbziE4NBFEd0Kg7Bx9Za+ACU+PZs9bX0T2spnnrmI3b3lX
yJkg4k5ZGd1Kl8xRmYoRZY2y8ZqYxGnPDGb3BbGkx9RfquesD/axQPiazsFylw5SbauBaSTeHRPw
V28UamWHhO/WJbi7IbRO6DjSn8eayDT6aW81CK5bSDXTFYP76uAKb0KgXDf+W+o48SYvRvNTFjTB
gZMpAoljbWYs6ncLwqIvcEtofDvP2OUsL25FXGRHW5Ec4DBQvM/m0XtGAx3QrtXmYwQshV/nBjg5
Z8PBQeQyUJnrz0W7zF/Mpef47xtoG0RXKVpQVnEbemy5AqFyZRemhXiAlh5fZP/hrhGFRgSjwzBJ
5DIb7v4kCZ9oz+KaqX2dEZEk/e6+DkGIlhFf6dVUudh5FvyEbAMCr/7ma7/PoJ0/ahqNc2zl29kr
MIYNRXroMArZ2jHEWYt5yNM+ohRDkY2xyMRg5GI08jAcQViD5LagIy+0G6nRviQa/CfU1tWpilz3
aahS64W0r+KLXju8Ynp+8z5cTjidIbGdqg8HVFXDMO322Yc7ilKrwCu1XIxThDh1aguZLzpPYK82
/Tj13l3d1bPzqXWCbz2jFe+QDSMfnMHuv9oZAx4AjOb7fqbq2edRVV5joTfKt4oDlNrLH8CMouau
AXTkJ7as6N7GxNpQ5KVXIpwLMOex+wZcG6QxHvjkLpii7MqNbNE89aCegn22pNlSkPQzLsyyws5O
vnrwRoxnuw4meyswGBa4SeO0PNZuLDeFYc7IjEqSnZz2lUTMkQY+zDbmzCfZheoVSvJ4cOIK9x+r
KWyIxbQjdoByMovIKVTnns0bLQqDmlWKYvLFcAfjQC3yXCxRto3YaNMW+8ZjZMTheSJpAMsyemPC
GOubhk/ztHTjClvb+M4Eej41vmOsWmX0ewHPFBegLrfkwgrOt2VzFYPACggscGbyyYPu4BGZtIaM
GO9blqxrHPz3+UIMdVIb4XFRYXfsgwBybW7Fp84Mz2hRsjW7gAr4kAOFKnTrn3skRUQUIUEnrRwa
XccuxgjNAE03doMxUBXJnui6GJSj/YYp4x16s8JlkVk5nobA/KaQmM/oUKuY6ZTvSfHVwVzqvSKw
L9z2S69cVmzPuCWoOBhsZTEZjv82cf8/wDtLgs34Tcv9R9kFE9Pof9bvTZnFP3Lvfv3R7+IL+yd2
ZY7LmlqLqWF6/Bd8p36SzD6UaX6w7SQjhF/FF7qZY2whPdszpcWP8VP/beY8pVl1lvRR7/B0/hOB
NaLjH5s55QvFpNl3qeM9vvCu/LGZcyG/wX5qaZ86PQOAekT+6tKGrFasofGnbTdUZkn8iRsBmQaC
qY5M9X1QrAuC/jW1F1n1GGpyrj+7DOuDkVGuaB5kkZsrk83P1zxm2j4HkToSkSVuUFqpY6d65hKz
hToRmLTE5iaYT41JxmAmzbCD5dB4zz4AjbdCLxApdpiakLig131US2cRIRH7WDb7OhKj5Ah1uDEs
r9pbmRs1W7YD+kcuofMAqOY7q2ZngyuLXzziA+Egar3pIZxsNjmxmB6axJLHIM2ZtspqcomCt4q0
JK24Kb2T47vt19YzBQEHekcsosJYkzfKEpm2Y7qboYX3ZD/oYVbl6+2nZYXNwRRSPOErZF5uEUxf
lkZ/kEMknxc4dneFZFvZSpMz1clbcRNaNX8/oVLBS+Jk/Kvxv1btymUP0+LVXdqvSRPzDhSKpL+4
zRjfBFp3MMmG/9lloJWzLnyfQz137kNegC1GXu0IvvzOhAj4lAQwz3A6U6Lhlpr4q1XK7/RSWb2x
oORv9y9D/3405Y2joGgXkcvQN2VM7g2BWDVjDI09iIcjhRkmWr17YeKp30+AuXqdMdE2b3iu+W8+
PtDMDLlzMP0zIu/1J3wZ+/ORtu0nZy7niQF8wO6YJp2hN0mZaXyPTIE/oQTQitGacTIo/TZjX2Zn
Pe8LrAvG6NFk6CH1rAx77Roui8G6y3F6V1pp+IqriUz6LGcYsRrG5VsU9HroNRTofbLxgQLE3s3E
Aqs1gULk8+BiuXcHgsGoS2pjXYnceiqYMr9dFnqlDdZul0JRp1ngGg9XS2DxT6Z5vLZIP0SdKae7
CK0ckvJu4GmwGrhsNEEdfftlz4dCq1fXmesyZYVswcNnWCwwgoEqdOWOVfeV8Q5YBLOrxE001nwJ
sZvzATN0YDzq+SHblzSpWJIUCfl/69THD7RFL8HzJvhankus2upAlJE8GsnA5oSOjdcdLz0LhxxA
zYPEXxSQF5HzxASib79OjMJDWgiDz27QzwlyBOQOejPjyQ7hB/i5N4Br/Mu62oxZO1n+1mV5v58H
kHuXTSc44uDl8ghfFiFz2qJa1F/2RD+kgcNudJQ9b8lohfPdxKzgDhd1eaWihNWIhc7m5WNZ1pUV
ezHGK1rloNUhH2Pby1cCex7bMwop8Bx6kF2bHByxiOu3xWWXVNtVjly4d8STgmbyYmh9yKpi04mb
sQ5zkCAuX06nRIK0oB2HPG6PA+rsnD/HjBU04YkPtL6oEDCk8IAZki95m5JJAQAfjcVlfzeb+N9B
sKEEcak2z2OZ+eelhmm/6uKZf0NJzgvbHcZRlDNuG8m7pB6AuhhNO3Oehou/MbPKPTh2A2Husk+s
J4PtaWQ0wL5Tnh85NeG4W9q5j7YEofANQ9/CC6JOnh5yqxyjh7mdqmt4Pf42nmuWezPf5dTnePaK
1ED+JOjOVlBy1RF4AsztjiPDxJrx1NlVzzvIcu2h4kGH8ENk81tqBvXBpy/aw2+xni4COSclvBH6
Cpvqx9b32ZmzzJVHCTrwPKUpT5Th0xxuMnIxngITCvIpLF22WbLIKePyIIGDbS7xvlcWuy9q1uaQ
xYF6b2OLo1kEM88UpkYe8NlZ+FibNrPfTYAHCGkKwaC+n8UTmUQjobENySIraHo8L6JF30XFWL2N
uJ0d4tVrcRMTq/2Uo7NrEItXmo1Aycc3EQz2fFKJXmxYiFa/hmnJrj2yebpJDH6S+tkjWkAkV6rq
m0MvNKnj8swrS/FDZsffDEhfP/89tK2bPh78FxtbNH+nqY+9YRR1dz/UdjoRWNtyvrHM8zZ4QfXz
6M+tt65qz38hXZsP8uNIS1rBVobFHY+SHXhNf0y8FkRDjUej2Vb4pO+Uw7cro0Gnuxt5eyXLg8s3
Lh889TIW3UTKeW030e5yspZlxMp1jLz6RcTQ1F/GMJzTV3uUnBMZkzeWZMMY71XU2e9+xraV3im/
F1FvsQ4uvoIM8o9NVenLoDb15RyEnMA+282bcWGMi3jQ5BvsYS8WDHmiQrCMnaP5wPEj85EJIEDq
aBUSwSDWTrn4Vzn6C6Jw3QBpAcNXP7tfkgyOVawLfdIYwheu0uZQdGzeTkTg8a1Jtaip5DsJQZoj
BgHLaNnJmu7b+VoW+UsZiubkB1NvjqvZGyfqENk8sb8gVV1fRGQVZU/xHFZE2tA3icKl4A6aQe6a
GqtoLUR3g7yvvAKoHGoEbfQcuzUyG8YdP9edtTWssj63INrWTedS0hPJPgKoFLkxHrpuPrZRX5F4
5KMxvwNsVDLj6V6BJe0qbA47A2P6XaWGVZIT02Qp23ydWeEb3BPwq4IjlKKcUzXhG64cfK/IhqxN
hSx0YzkWDRYTKPpQhwHuGpBXfhBQMKJVrCoCmFQqd2lhDfCx42UHVWY82ST0kcDijvNALBYqnN3s
EN5w8Hksm3XY9hpE6Ub+VSfVcutNnXtqE59rju5a41PI+shH8azEQMKy6RS38ZJ6J9cKeHoFa0sn
8spt6CUVC9pqQiOXuv0V+RfmNVJC4GStYU/vmSqT59nNn1Xi1tk5g8h5X6fEbRldO3prtTQ++1g5
fGuRfn2OPDzC7eizlOIh29akD208TMAkCyX+wRzqYTNPHUE1XjWRUaeAxDGoT669Jkrma94v52vS
ecVu6ceAezw2t2E8Pvs6VTCNAcm5wfgz8ra1HSfuZ2Yv80Nkz4iAyB7ZyZSJLrkezX1r8rYSQeds
GU1NX5LeejKgTpGH3LbXXhwttHuzvS7dPt+VRHrsA3/Aa+THahvW7VPt9zizGofKaNvmdXndLQFH
FBkfa0IMq21I3XDq80acUKYaBxv6I1OcXp1LSTgib1qB1bvGdOtgYpnq2tsaZOKgEaFJ5QlJ74C6
4pPyTsaSilsuATpWBd0+RPx4zKBL3YcwJmUhiwNju2bv6RtCMrglYZggMzvlAyPszXhrMRxu0PX7
10ti3/cxEWxdUZgPKcyCczln3bM1WcZ5zivQrYbn8nMjtevnbsiw3gSWhZFlKmoyJrryU6ITblGr
QOjj+UbGBD4aeukojRtTzwS5eV3CvdWud4lOSco0P46gvd+NNEcMoOUYgpgiXM9NuzNIGCTU0h1N
4py6fm8GEEBthJ4sYmLGcljiyC+MuuNQ2F+rKFRbq2M+JiqTnppO/8iCQr4HjQkrMCjb6RMV8Zbq
uqESjM1iM6dmuu1wBz4FNScKJ3+Tb/FloYOLLffAxl0yKcEw1VrYROyRoKhz1BvYnyrZJ37PQcK+
tN50tvlAVFMmyHbOGhhnbo0N/CEOxERkSZKr7OAu7RB+5fAPd1GCGA5FbEXMzUB4TRgFWA3LUAb7
zokMDqYmdg5e2o8vBlYKj2svsBzGiiLaNBWcrySqt67TMMBp+V7EshtfiNrJjovDUohApHQH1W1h
gq+H64kb7xwrM5/HcPJ4xGVeKuMUYxqEipX2OVQikkzDM7pLhvBd+6pT7q7yxrt20gKhC9XAYw5i
+5M/tk6z6uldulNaoxJ5bZ2qN495Ck/hZNSCOcmBU4tZpy/7ekTgalA5Eewig9ug80eqWTyTK7xl
pfcW1BmHepAkYzVzfM8sbYCIIE3bu0lSLvbaygiVXIUtIDegJbbZyzcvyrl1dZQka6/Yk+EO/oCd
w45r+O9xViGxMe0cBevQWGi17J4aNGLuHlLJthQizqC4m2I0QPPJ1Pr22RrFE6KcbJ3XI2U55q9f
N9wfEP0/Edj/fsVP62zT2Fs00GzxFGvVH5bs+BURTnRxcghKH/1TXsIxeV3U0ref4OsiVFWAWptN
iYoTdMWYcvn+ZuTwJy9A4z1/EFHwCpj66B5e8z+l9btN7Bg5olysLmRZhcib1UWLcKb3RWCxaGyj
kGIzqPaxjKPwqqtYgOD1b4ObsOjEk2f24gY/I1XlX7+qP3lb2Otg56Bsx5b7ewdAIXtG/4kKD4VB
6VdP3P7ITUmypCILsjUcEiqfPl8ojowhrP5Onq+lDb8VlvBm8Osd/R9KcJClP34qxQxltxgW3pM5
oxUCdjWzuW1BkSZ8INFsw8GSoyefUibUR6HL70KxKr0aUJBZt8qZARmszLQLo0OnO+iqDovk20WT
PRaSg/av364/+RDR7Au0MAg2GBH+/v0a/DA2pOFlZPcNwG+Q3Patdgrg1mwQiNfrosrJS53a+p2U
svmh7phV1BG9fFxOzUNe1H8jHhF65vPjW8hQEw0ByhVXsu3Xj91vXNWGDeutp26AbAPYZ3WRkneM
pF5aRjyEc10Ug6NltV8V8tkjewgPAD1a970gXJ6k3bbSPRjv7F+/VfLPXhjaCAQQHqKhP8haXPYd
rMPr6FA5IRUq9rMyY4I7jo07URXJtnisyNRRx7nUorwJGlh6GpQ1PPRq8Fs4eOjUTajdzgrDOHWx
6GhjjZgmiu0u5XusBfNZUOoaXs96kIvzzTYIYaE0RbZIxA6Dwa8fTSkGyumhZ2zPITRX00MUaD07
dKHpTtdx7/DsebaWFi7HipA8OqC/fjus32ubWOy6CD4cwdxAOf7vHT6RMOp4RlC9l5HNGWiVCzpy
j90Kz8zEq78I7rGUDMZjYWmx8ZRHvKyZNdbj5Du8W6EEfLm2F4Osskzx//Jm8U/m6aDkL+MhaWmp
0Eia0nRmMRLGhxKqYr6OXXIytyGJb4dl1v4e2yK5YuOkM5ozj4bg6+WP/VdO9DdyIgAc2pX3HyzC
HyfRv3xu3tv0/bd6ol9/6NcZNOhozkE4HWwU+dbwpPxnBi1M9RNCHkx+HNgfsLTv/j9EQ8zotPOP
1DYMhP8dQXOk/gMEGvG6Px4vyPCw+gnF0Bk5ns0L+/F4ydCKM2OJhrNkyDtEsJQbRuApLVGdzPi/
3VjNiEJiDa2kJoNfmWqUpe0BtWw13jLLPUiXBS//utH4S6sBhDldmJidxmNaF1KmJRsyVpe4/4R9
OEfSrZmag8Zr+p0X31gauZle6JvVAIizEvhD2IHJm05jOgM9BjAHL4cDahYoo8f+gX4BsifdZYpR
aBxP6kL+nIBWfjJr2pHejAykL17pP2SRlz80VveCRH45tp4AJYo3/M6p7eUBVmnzMFEVUk9peie+
ha0xSoovZrwkt4FYGBwxbVWkYK/FyCWeeuxL766b07bBrGBVuTjTXV1X7Z3jOtFrnaf9vDbLpNrI
cLB2foRc2bXr6MGenGQ7mGrAtW8W05m5knX26vaZLTbVPMNwF+DaIK21iWP5qeh6MA1i+pxOU4M+
akjbA5KU+FzHBa1YUdntz3GxQKzSc7LnjO/8jTcOEZ7jaGEfpjiWo1mGm2zw3DXDPUIwE2YPd5bP
jsHIwlsy1pKdm0wpuel09i0yuIMJW+I8RUV/LgwRE+Kbs7Du8nF+ZNjXM3X103UHvvWWmrw9YBso
rt3aHM+qLeYDV4V8T5QsT8Scdo9QSTI8/cTQbAurIku3iSzvmFcgnxfAl7tauMamCLLi3mBg+9jN
qnvjas6+zVZrPllDH3OITQXWbdu4kbG7o0LtPvFegeitp8K/q1sv/ySbeNgJryo2RWeZ27FIl/1o
AlMyZDNBVm7ZkndVeU6mblr7ctCrah4cXCyG73+RMoEnXTcEYKyMRRZY8EmT2SqniO4LPEaA0f0a
LiAqCD3yImCu5QLC0/pODJF3VaCF2ytpVzeqgT7RF8hmDGvBx9WiAJiEwdpmMPzkXC1KHbKw8mis
HSYvBbtds/LRx6ThcpvaSVXhGgiMLx4QdfAPYQsIhbQSophR7/ZXJNO4nF8RK9mUEAOKn2SDjd7+
RDghA/YJG77jpyamiba/5kZg3AB5YrhvjHB5qzNoAdg7qumqsuPwyVepfevVipu1CvfD4ELQNtsO
OjL0gdRG8rLqh4UUMbKUXGDZNWAtPHP2BjidmzIzgDS2ij2mKMQ+ogPzBdw/tB96XiXwlNDq0pM5
TZC/cIxUd3OBpqoIa3M79DnadqNibBHhJdr3QwVHFNjztkHBfkveUnjbRMraOLUjf85QuaQrvtvT
axtELnZAr58fQafKcA0Ay4AyJqIDwuz81C8QT1c5A5hgPRi1PezADJq3TN8JJQdbkeY3JKiEL64o
yNpxnTKo1qquA06SuFo2S15+ZaiGWqJ38ulaLm4+89HY4AySeTBeoMtQjiSAmAK0NiG5VLFAMr4k
BcMM9PALYdWMSe7pAcVrQ1AFaAhyIKt6lzklmP5rDN7ehKpHhnk/WbtmqMDHaKSKA6J+QpViPgZE
6M3Oc+jm9J+dpt+T657zbT8tFYKMZQ16JZ+qjUKlPD42yRR6X1SYBlGxjhBwjvZzPiRj7W69iqzT
ndH3XfJ1dqtKpHsGrE3DxcXl9m8d8Hd1AAtayuH/uw64+6Uo2jkb3ov4x1rg4we/76NREKOcEPj9
P6TAbLm/B7GZP4EEFgLcqaVz0HTZ/70YsH7iv3JYelhSQOSyqSC+76NBCAi94Rbsq9kt/bOciQ/d
/297D8/V4FZXmEicSbb4vbs6y2W75JU541Yu0nnTizKGS5SN8sYKptLX2xAh13keN/lu7JzaXzFi
a444CoW5W2p4N+soM4nYrdsuszcRJRHCDyJnNo3/pRq64HZ0oPvlszA3KmbavFqw1BE7YZD8lYhZ
bRYnI/HNkDjutu4yMyO1IkT0W4Yzy94AffzCHqc5zZo1SGVu4qBalufAMpgvKzbP28bXgELWrDVA
dI0tNC8IQ3GhGV7AhukFclhegIecxym2jSnY9FFxiEn4/gVIavhl1KzEiZ/5ZM9l0m+4ONQZ7RlY
ReGiAFnRUHL29Zq8WBowGJkAZFeD5jLGZdRdDyOsRqGpjYEZAHAsNcvR01THxA2TYW1r1uOkqY8G
m1JILTlmJgyCoP80H9JreJtBzDC1AzdonoiX6LeFZkpami5p+bzzShMnx8XP7zpNoew0jxJRYnmX
9DAqSZLHVs1lRoKaZlgmmmaZjpG7s+iEu7VOSiCGIDS3s+tQUDSwqBLiIcxXzJvduQeV2dph9yiA
r8B2bQJQmhZLSrwqmrCpxcovU5ZaO5zbHqrakKSpYQmCa4Ya0KekSfB6CXLQthGSc/Z6yda5uGm0
r6bVDhuF1cYd7nLtvGlHSPQKM47qYa6sW+3QYYbSvwnt2mH5NN2iMrfXPrYeo/W6tX1x+kR4fqR2
/zABCjDjJcU95YK6BuDyiiPZ2TC7SjezdhAV2ks0I1vbOoadH0YubbMk1CulIHoIelxIvYEfKWAd
ewwdEogT6W1JMwcb0JvlJri4mXxtbEr8wN5xZaTfaH2/iMA3duXFDxVpaxQPOU5ObZdqtXGKZZ3c
4g6ALs4AaUPG133J07aGFXIFlCla5V7tbDBHf1oQaqwWbc6KtE3L1oatscW6FfaYuESPDTTTxi5m
PuGx0mYvO6sQitKwn1y2V5QGmMIaMQ3sm7RRbKh5bi7usUkbyaoZwlePmXaTXHxmldPbW09g+UGf
q5WSMUKmvaPyORTPHlr7eAc9DsUx48NFYWRLPmxt44fJDYWn1z9aWCPHR7vVjc/KZu8gXoTiWdia
dhJfOY3p3rOVCqLXSS1YxHqRZHJX+CVzjYxdMr9/iG9g7VmvPs5zk6AvQchFE0gUJJjxDfsTPKgi
OY6l3tFn5QIwYGKpqYp9w7h5INwrViP85LjHTRiGBv7pFGNx8pamXbMUGzItCpdKxm6t9VyhV90M
rTVxsvVxGL7lIg51TriI+XyMMsfsNZaQTCcYpawoRDxp5944u1TUZMZ4W/xxXRoe5s5Tb31ZjN0X
N/VFilpRLD4siazvylPcFcASVkWQdqQ/gm1Pj6TH2CTrRSY+8qciJTljbdbSctZW15ATyQZ3+qAN
/ntT/81NLaVpobL6v2/qJ27qX9r2l19+27L/+lPfPUDiJ0dPBblOpcu/7Lv/x6STt6WrtVoIvfnn
f65oJGMMxejjlWUqZnZaaPb9ilY/IQ6kj+LGt/9xFBQjwB/7d22BAK7lK7RLOC4wFP3Yv7tzg51x
tIujQXcoqj1SXy6UbWCMGD/gQHtipQdX47nTu5W8reeN0PsWZE3uoc5VvArsoM23yFvFTfv/2DuP
5TiSbNv+yrM7j7LQYnAHNzUyoQmAYhIGAmRo6aHcv/4tT1Z1k2Bdsvu9aQ/auq2arMhQHsfP2Xtt
PaNZ9LTG13ObJPFBARIdCN3KXz5ULGMda7nnPEd66mPr+c8YeTPIAmZCBD69jnXLlMhBuOBldbJh
v92tLT1NYlIyIlExTfRTDsMmRRzbzks7hCB1yGeNcNYPLoN5VGSiuhgB3DK993ejgBZhkqO2njAk
3Vh6xlXLrHywU7ZxeFldlldenOZDao3dnmwXdQS7xrgssX3/c3weoi3ngVrVJ8lV08vhsWBmSYdC
mffj3NubugzuptGKrswc20FYwfPCbKn9EgVUxGCcNkXWYcHMzX6PaKU+zBlyVD33a9omQHls1zuf
cJSVGifrpg6iY1IXG69ZilsQeBhQkSatLGTZ25L8HPJHmTX2plNv58411yxeLgEbi7gYhTIOsaGs
o1ukxrEUdbst7E6tU9ylG0Lumyt0LZQ0ZIQz8KQH8mBhUd+Sg0boUVx5exeZ1M7uyLNAzaXu2skW
VwHxE8yf7Adfz1Yla80WvTG4iaAQd6qggGEDUu58+Dkbo2VC6+pZ7cjQFmHTJ9I3xN5qnfwwomLf
IwuKn6Ywa3Zs+vzXMKPDeDUiHLxK+AKvyvOYeNET47Aqp02WhuGBaVa/w3ZPFaBnzJCv6BXruTNz
5uhz2NfzV/ZA0Q7TCgKCLqa9znvj3rlyFuWlzNvHlO/EIwJ5+Wz4qB5WtfLMK2Do0yk0EGI1lcmk
NIsY9bZJyJxcT8xTPTuP9RTd0fN0/JePCNQoHw0aWwcyToq7pemMI9zz6cauegzPXeYvpHmhTlln
llEFh9FA373rhZ7KMC9muK/0nN9n4J+fR/9q0Zx2rQewz9KATqsEUDpQOKkI6YDtjma9Lm0ApM6s
JhvFMsojYVWI4m1V3RqGd2CmUJDhWndXvW8/N2UXxJcd6pL01Frle5/gnXtUhPvYCC3jQmSjG9v7
cnAY/q+maK6jF5gcXbbFVKJu1LSIWzHaYfUS1QAGLt0aN1s4jI8ecVm3JOOk/bjF2/XgxoLcqX5k
klrW0XFuApvA8Fgwg21Tv0WLZFTYIGhoJ4fWDYr+0S5nl8gkjwqS1HiCEhvQIMILhQFxAAg+vgmf
615N4O5jP699bLVJbIK77uZhbaK6uCacC8wtDhO7QxDqSeuuXqIxfsUTQrMvU9GKFY7gc9dwt+bY
vOPJ9QoaLRUxrhGKrwI2onZHm0OUfw6MWBqHsJ7M5sJrSrJn4LCOxeYbjwbNPNq+mQ02XBBQSYUV
0AsjtdJKLqx0QONU60FkPQTuq3T5iO/Z0EwYMSSpkZvJyGg6DBY5sNvaKzikgkOBtEn38Z2E2g/c
Rcl4wSTZaM/aR1N+KGL0bDTWmKTBAsyd1UTyZXMDScJuCJInsdcZTuhXPBMCN1q4JFgCxIVp7d/A
/1t2nhb+mWaJi7H3uMZrH0nWA9g1+9QTzdKvCqLYzLWqonlPg82/qiO3uyiyiPd+8eKNd87as0cn
2KPmxckVTOG+0aF8Nel86pzT15MFSmtPg1ZBYO0aIjTTVQlki5fqnPQ36tC/IfftY4h8gxqFiONz
NqCV+Nm2R+hg7Exm+u+Ckl2Vb1PUriEaGYyl6voahkVzH06Bf81ecPpIZjd5hEinT1I7SkpabBs0
m8l+OBtO1Nl8Ugl8KJ3sPvON0i5HF4C+dqtkZ+OKrT0sCVGxO1hO4aOnHS6u9rqY2vVSav9Lo50w
JWHyxwl4wYvSPhkZWxsR+MkFS2d8QCJhfigCK9tAUwk/TlaH2WbQvptcO3AC7ItX6MaxVXU0QttZ
5p/Ip7OOnnbvAEPaDdrPs5ytPTRlwNXn2vGTa++PH+XsLotoL4jpeFRBM1xIf8LY0BMD7k0VBqLc
YteghAEhSPuLEJViNeq16whlWMse2vE2BKiRLcTxGQXhU7K1Y4nE8PS21S6mSfuZXO1s8jmBXYsI
EvkGhkKWRjxQztkONXk4o6bQHq6sQFlfJhCk+N1wUBXQeMmUwFVlLBzP1k6rVnuuoDW1oGiG8row
5+5p1N4s5lX9LXq66DKkT4bXrs4vi3RhdOyk03UBe5RwjtI/lJi+Ou3+ktoHFmtHWBxbKLpz4VMJ
aMPYqL1jjXaRiSXFUJZpb5mnXWY0PfrnEONZB7B24yxquOvPtjRXO9SqSER3hDWok6X9azPy91W7
VCZmq8a8gMj/PtZ+NwtJO8VDALTGkLjhzsY4E4vcor1yLukCV16WmSfnbKXj6w8dAzzvxrVSrHZE
Zj0aNhq5zSgS/GAuAsJIu/PE2ajXAfNbI3qXRAwmNkTligAZn0G0byW08Mw5RPzJS02+ygZqtffM
AIOaAgUt7BgzZyXo+wJ2MXZKmQbvHBQ+kDKAS2VJ+iB82WZ3/+nE/SveEIfpMyOr/72+f5+JlwbC
df1Dff/tb/1V3/t/AH21PTpn0OB/9Pjbf2D98KmxXSd0g7Nj5K82XPCHic7DpdNGma9ziv5R48Pd
R/YQoEv02QCE/2bc648aCgjxIPw9tjGs6S4WlbfQDNsy02L0Uv8UJRgUziRHz6r1pFcyxR54c2hB
/uMC/Y2S5e8OGNAM1HR8kmOsNyPBgrNuyRP0Tg6L4uasU2U3C+4Pqu4hAbl4/evjsYX6TuHw7QQZ
nHO9UEBBRHgjEmHqpoRmKZxItfaf84gDMFSwHoTHZOXXh/pRDnM+FLeaew2a0gzMt9POPqVpMRaW
eyIKlOF7kPegfBUfeB/s/PWgwHAGJDtd/wvsk785S54kj6cBrUIUvKWAzF0xSdPo3ZOwc2w7YUtB
wlRCl0wJI/xfn6fF3vPtNeUJpH3sIUjww7ed24WQvypYMvc0Nz4HCnASo67PTQQh0xBgLqgdhKRH
tnQoDGSfTsikLI2MWkpAXKZ2L/z6F/18+j6zE99nw0kE0k/6LKY0BGiSiXX6hjqMmGrsTRiz+//H
Y1kWLw37Ykamb1VHSe7Az5LSPUG6QyLuQswKhgp5iKZG/vq09Lvwzw65fqB8HGMM0Znb4w/z3qhz
sqEFD9SQ7s58/KuwmRCNdmX85m7+3bVjEbLOB2OVevNC0r9ygwGh3klpK0ceTjS/Qh9So6W0P+HX
Z2Tp1+3tKWkNnU2xxSV821EImZcRDWQ5p9zOCnYuE8e0YgNpf9kLzCfYHJ8RZvGSZhHdwhRXSjJh
cfnNz/j5CfZNl2WPlGv+ByIKfuZ3uieQHHYc+4V7WsLBPjpFbSHIj/GhtYbgCSWrodoWhU1ZLhXO
hM355fVa2H2sIP3h17/m7+4Ao5AIwxF3GonGjz+mKHEQA8fg5dW0TtNE8D5D98Cl0P+O2ft3hwJT
xJgj4NNiv32iljbsmz7onFNG2vF9FGlTm1GSDr8Ofe7Er8/rx6We5dt1wdDqfD6bw/30+LbpwI6z
a0kiBr6Jg8QAQlQ7uISUdsRNtbZL/PqI1o9LsD4k8kgtNmGGxQ1+iwhGeeXS0KZLYsbwG92wRt4l
euxXeLUAh4qY++p4yLbSMEdVpzVg1TIAEzZq6Ha0HLoDidpE9ukVBKIlzimpbDRPMexQ2G8WjPZf
/2Tv/In95yvh8eGnKwXkR0ONHQZyb25/HS65u1SOexSlWe1MReJTk/nGLrFEMbKtrCSJf2WZ9028
RvYh/S2wHv8O/j6GMJmX2t1VIVBdx8xQXhXQtteFepXo6VRphB9Gw3Rj9rk10V3XFkErQV7QpfiL
4FdgXMz5a712WAUkeuIY1+bIWfs1hyloTmHiOsc+5wKudEL5LSUq2A6fbs3ToNgCraHydtbBEh7/
akChPZTACFEjJqyM4PRkzBx/X9Ydxwi50r5I5S06eJp1LhI0IuoyHHAibXhC2jNKswkGpm9Aq/3j
DN3wJFDpwBzsLSRvZ8p0kZfdx6BF83GkqS7vmVcC8bUHA9cUErbskwW2n1JZOb6O+mQS9tSVDc/e
UPjPBbW8Wru5jXeS2NRX2pr6Cz1N3nMlC/ulxex3mLqgu+99Jj7eHHTozBOMHqy/kwfqweODakkM
RYbT8ZLq2hyWHlHzCz6rs8FQusS4xg6G2LM9yGggAA1n9WA0x8G9EIl6sicIpN/so5WPVtFChPNa
VIltr3wH05MSxGqvQ9pYT2OrZYy0JJwLaKFc5SrHLKUGrhs9IPLAz185kCh69+aXJMlXaZ8fEri4
uF2CgCfbxfwoiS0jN/eY6sIED8TyDdNLKhl2skb6y5ZpKn5Ory6ta4gLPDWMN7Cz+tr/JfO8HcjL
CclpJlkD8mOr10tjIqp1L9wJ/iQGA36MQ7QgCQcD30W/SXn/GjNBYlhpfHRqVBofeZZ3x02oTY9s
8XDTnfsbVu3wLBM4Ej0JPGpiT3Mp1PsqKJeWDt4ZUIfgjCq19GioPWxaLQ0TgnpLlaxxWXnPkG8A
IqcjphNR94wRaQT1aB+VfVBqpj9mJ777qQYG8RCqTF6VHcnjHfR0a4XaxQp3FmH2R1z700VSSg4j
ymUhZx6YCm7V2H/AmJrNK5rzdbEKvFxeE6plnio3bRhWFlG0zjxBvrNnuGsJq+WhICV0O5LT0R4L
U2/4eCZTDDGivhtaAYIzj8fqC67O4WvoKrpNdgAjwfcwXMslp1E6FqxMa8XQdgtUHjLJYMj2g4/w
Xuxoc/kviwroR+D1uGwEBOKdSbYSLa2RBHMkJPV+asbmOsonPBUoVNNPiWMAgoSTdyX91N93tYR2
LIeg24di9j8CIR0wy7bqE+FFzdFxq0SS4eOqT3XZFVsarGotrInbGMbexEhzrj/lbR4Mm3oCm1CY
fbDXxSj+iQUn3abvK2PbUQOuaBpUO7a6g16Y8KUykryH1GmQztu1F3mfip30RvmFVKR5iw3YuJNR
U33IignfrqyHVVtnOGeAB6/oGT4Hg8v7kSkD80qVrsept3ZV2/AvCo1rd0lNln8nxnVDNz21NprS
1zCC7SJQhasejn7S6DvfzpdUuuGBnoz0NuQhzkTFxBzILYlfcsckvQibFmLPININqFBjCw1ofGwL
v4MPXYvd6JHvV6fmSxmI5gOeFoIbI2vZCSMmC6rkd2C2qO74KuH7USzvl77bka+SmNzRgGzKS7KO
yA4fxvYW+jcPtYHWfniWMaZaw855JYSWpG+bdoCN/s15bYMz6zSWeXhNepMFCROe9fDNr8pEA59j
wJhjG46LR2sjSxeCjxvtH68wxqq17cEMiUk0uT0boM/gWKAVfI/D0SMni+w/XL19yQuAQrAV+yIb
WIJYjSnMNLXbWNhHQcqmhPMnZYFDcXn1x9TrDu5CivjBswqs/NC/+WnBhJS8KOuSwOsuoZ4Dpwpf
ttFMaKSYbfUJd1vYfpXt5NIiCYZ4WwaD2Na5O3+BFkuEq1cY3vvIj/EtppE4YPRkZFovSUasqpWn
n8U0PENtcraey6x1HUuWjw+lMkbjXaZInT0QmB1eTz2ES58stm06z2SjGT6cr1C31qKkClZR4M6P
k9dX937SfiVD7cNiu9YNCTkDgwYgdmubrvbWHVv7NRnS5FVl2fwuGQPuHG98vu2mIkErkQQz3OM0
Y2rTlSI4+h5Kzs0yl22FCJJ1HHiASDAZYvhmMtDIKxQszr2vloyQc/Sd1srnLuRrip3oyagnTGS0
lMqrpe/dG5Wp8gYZ3HhfZSFGWghHL+5klNuGftznJvInEGqt0mZTO4PdHzqYxzHQrOZRzdGq6kqW
C2QFeGdD9yjn6XPcGvO7mejTO2sczas+S7xPxewjGulB7vOtrDFTdUg9ryNXZlf94jlHI5oj4gGm
RDzb2dyeKjQqxGGhJETOz1DIHUTV7y2WvJ1BMYtdzbLtGH9jHCy7tKyhABZtC0HOUe/aLI0vTTmq
uyEFQEFy2PxxLJGDbk0h3Oy4ZMvi4UY1DZC7MQGc1/5Cc3wfpaM4sMs1LnMgvo9mhmFobWCHIsXN
CMziMPLwXM984b9aUyeuxrad9gsfwlOdi6rctEAniAOy2F6kLG57YuMtGA9UFgZ5ycF0l9gTKUN1
HjPvZ/DXfyyWgZBMWXqXS2azjDqmjOjfQcCAoVH1I+K9urGvhkAqbyWjzgq3YRm4LIjW/KWxSejc
RUandkmLe9t1O9JKS18dxBhk96KyusfRkuIpLKW7nRbFSCjXsGKkOCvXTFO8uCoPNk47B/gZCPR6
NauB79BgkpKLDS0r0Tnht58U+xQkkUG/9ugf3thmsDya/WzQsxwc4sGcztmFyFcDVL61t+tEwJi1
sbNI7Eee3a9xmS7vW5AAL0BFg9fZHwgoMxFxiLUoLQ8VQ1OiJY5DgoIwqXXZpk+VHA/B0H710iW5
FXnl8JXLxIDIYcGV3zR1t6HT20maoX3PhKPub4xyzre26cfDJkr0ZFPhbAck0gTpyhvdITwVI+Q6
ww2mDyn0iHEdJCq/AVwUmKsYgeZNDRQBhJS9GHcpzpo132xhuYeqnctlfFpSLEnutx3sf7QOv9E6
IE5FHfCPTt9P5oT/KZ8/P1c0A8nyzXBHv/73f337K3/1Qd0/dK/SwsNCPQ4Lh93iX3LE8A8UgDYd
pVBvzs5Ngb/wOGQTEaKOnAGXks9GCWPMX1oH8w+btiUNTMC7mJgi69/xKvzYajn7JZj78ivQPdqU
SG8aArnV2q5wXONA0Bwd/CyXpIRGrnj47prcftvV/Z96rG6brB7Ef//Xj/vvb4fRuz0Ulo4Z/tR3
UJboJRAv4yCUS/pKU8mNM5rhTTVPRvWbXsub7be2gKDxdByXIRhLBPigH3oc3IucHYsTH6TVRDem
309Xvmc5R1eZFNTEL6S/OSAClR+6O/r0WOZ9Grt0rSz24brt8l1bZSmEh+geshz2V6wLcdcMlw2Y
fBYAg0HzOuSr8UQjz7FxtSeTg9yzzOXeb2a73ndeMq69CSzCalwwa7V5xka8WSj8ZdSbn+sl6y87
5jf7Lk6i/TmhoUJttq7jpT6yP6zuSnope7anwyMpM/URdiTQtLjKrmM5ZEzbcvIFHaD9e9mZ2E4S
IbcdH6o723DVlwg2/1MK+PwpaJMrc5QZ9VlZr8HBmgdlO8UVjQ4/XKe5M97ZYqy+Kkc1N1gM80fb
zAiuB7y9w4lR673ItNaarYPZxJSZqrP3IcNkcPByhqG2oC8bHHEKrKG57tsQfllZOM9mmRgHIthw
FvdACDoM/vg/lijGKgut4AU7QnWJ9HK5ixqVjiusKHhB4STuTGH3HzNoIHOxWdI+EB2BznMyi48R
cwkpLtO6xYuBfoTE6ZjnfM0yC1LQdKr689gH7cd8TML3kGbs+ygxo3Q9myJ6hVTRIkKN+gDtuy2b
YmXk2YK6PCRRkQFG+rnAhOetM3yVN0yXw3YNJ7C5DPCPneRYz0+hVOW6iLN+Y9slz16uEuZhWe7d
ZI51zxfBhNibY93vIrQjltl/rAJcEM1iDqAEkE+CSfGrV9Lc031apy+kibebhAbXKUETCMVKeWm1
FVycFKfHVQcE6L0LkOjOqTN1CUoKzYZYrOKCrD/TQGyTI3s1GuOd62feBdxN9zDNOhlcZsUlnZDx
FfDO8LmwaKxsVaLQjhpDFh25BGID8e2lG8r1bDFNrkvKaexzr6YDxEr3EmMDqGhRJI+RMJhpxhBg
4cfyHTSqZS2WGXQVUZTrKKYsC9rhlNOwdxj9JnJNZzt/pgUc84cDsqxGZ5M2vtwugd/dx3NpX/og
2r1lnq1ViLCaR5u3Z/Hs6cpBgIqcefqyVOg5PaJUrwq7Vp+Jk5Rr7qz3uYXgcoNewN4UahjuO28w
1vUQ3nddlG1HT30wAOReE6Jkb22pxLURKLWlvJvf1XWE0cCKph0QmTtIQu/JUGnsQwYLlFp9oJSX
LzVsTLICp3FsNv5YQEGH19Fin1IiR96UVIXHMH+U5HKUna8uw7mUy0UZ0RYgeAfXBh9zAxvJU4Ey
F/PSYo9iBrpkNN1mxGOYP7h/TjitfAmn+SGQA6wcC9Yg23s0CGsjLtCzelCCVhi+6npPWoQfQCJw
k3BHMpftXVAJCnND60qGOwFbDHNKUg3+LilmldxPhcefdNpsSq5piY3pqqnQDt0mvpEgLmj9TqSn
iBKryYhsmr2PdpuOPRKNOjbS7dwvkf2Uj7NBLbWwRr4GGiSFpSUdjGOBqnjs3xVVXFfdnpZT8dHw
2uJdNFXks5ok4HCwwDtM5lA+BehO+nXs2LGkXvedo7dMSFXR96De9nD1773BcY6zHXfEiC3ewa4M
E1BrITO5wWNnoV1r0I4AmOEfB7GPDlmO84tv13G4qq263QEXcS4aJLe03twalsUIpK0VZn3MFlAx
QzVCJ6m6OOZlD2fSO1y9tQumwNpZ9IhByGaIqFrq3lqYIZGbMsWThJrl09Lzvzr0DO8U/Zt8RWU+
thvShaq7xXHbL3jIQwIU8M7uCr3BbGVUqc3oJyVKejk3F6FZRjell/nPJf3XdOWUk7WLRVDdGTPM
6HURVvw2w2fDwMUYqq922JdPjjmwjy0Y9G1CfDbvkiqlo0dSF/soGEuoibHvb87f8f9Ugb+pArXX
3/6u5PmpDHz60iO1H74vA//8O3/ZUiyKPYcqgaCGb+aTf9SBgfOHSw1mUqywSUTXypH+moefMyqp
lzR+4U+l7J91IPPwAAcYtSWcfAvtd/D/UQfaRMMzCWPgrsH6zC90nfhdBYNGfFSgLbxDGAqQOWmK
qTHpnN9USm/GFCAiLYdzJLDRiWism2+qzXicOttBwXYY85qk78mMwlW4xM0n4Prw0nys9qXqNFGC
Lu9vhor6fn03giMVnoMz9QrNiMsWcLF/PEUi/QAYkhdDgzhqil3QC/LXFlroFfq7+xzby3MSVW1E
BxW+Kwqq7Mti0F/c+j2M/LK3aAaTY7QfprAE12R05O0gPRJhzr45L2NvPcge9DEc6SsktvF9ReDy
t/fvfwVy/O1JMOiNcMThMKbs+vEkzN5tGXSo6ACkxSaopVG7yoCAlkFIeuwckw2xVQDjM0h6WVvm
GSBGMxluJbAfPugIDtg23hJZFwIKhF4R0ZTcTaiFL5ZoKqg9gIpU2ah7oWog1bCiIv3uxfgX9gL6
PoQBNXrIBB2h95u5D8jCcZTBHB0ydvSbHjsNcYS93AdN/vXXR3q7EzgfiR0U915HSbzd3HiTJarW
4kgTLCcMBXq25YfdsR+c7s70AOb9+nj6Cfp+oqWPx+AP5QqPOGmo+gn87iWyLbLpKqPkeEnW37Gi
QCMfCZ359VHebjY4CsJ0hnyM/EKCMN5cvwgreYg0Mzz0NryVkKvWOlF2KMTvgjXP0+A35+OhhGFh
0uvCT4tCnlh2pMnaB1uRRK0CQYZ2xDMjJTdOVg6GWSv1aSU1Q3EvJxiobYn2zM2t+B71rTpVntfd
9VJT6nzmPity1igeJ8tRh4RU7WNDGNY+49l8hB5Yk6KgTBcRZ84eh3YiB1laHRMd2tlB2GCWZ19l
h19fzW8RtT+cJTM39os4tAJABJQpP9612I5LEND9cphzcp4ruvAX6PjFhaFToJuCPGiffs9S9iRE
66xoHt78QLzjuJssnSTdkindnuOl8aQAya/N9xZ5N9deJN1Pgc6jJsQI09Bsv7OYr6Jig8W07v0Y
wb0JXT1VxK8POt86TahVa515XQBvz6fkE8tZAbKdXOxktKmVdFY2X5eUVk9MEw396MEg4nDd6HTt
lK7tXjhN+IDSJr/IyfrY1BiwhxW+rJeUDw9WhYKMipbc7hYeVLeaFGne2KPK/RT73hZxu8tOpiWm
c/QJAB+spDkUfVM8DcSDlzonvNaJ4agi5auUwKJCnSeeYMLZe7GbEwLnp/ZaFS1+K51B7qWO+dCO
ggI6SYuvEAgatgpmhGsi6tm5rOYG7XkDme8DaQuA83XaObG05UUusV4rdkc3zHzCDTyDmgj7Kptv
xqGGtJ5rjiJB6gYRfuuUaHWjIGPdwL28cZMs2RpBf6wqOPmlb3VI/qOLZTLqa/zJkCYXXEWElpHk
bgT1Hi/jpb6em6bM27Wjc9+FToC3KucjEjEGI0xVLhKwuQw8SYw3zuHx+MPVNYEFyBKl9nebfF/W
uU6ct5sovEBD6jz3sS9uSWkX9cVgjjg2AwGVx93VOr++10n2Y+c4z8RWNLsitSFktgsu9cau+0dk
AuO6KZaZW7NQ2S5NcpjluEtT586OqxEsWztdDIwEVpJMhFBTAF7RRFab3rfaO9mXV1nspWs4Vgi4
k3LcjHHRrxCNjuveBHZvI1gyE9cFyrYk7+o8uSJI5lO6SPOQDoN5H1tKbvPefy+H4tmu6nozE6q4
NnKfCThEx53T99ZlsIzzET13tGomBZUABO9qzOE84i+BmguUiiWKTEWrqmnskxd1MkK6GIVYmPRh
5fhoAPXjxywxnryCIM3CYXYFE2vi4ZrmYMNnqIBaE5Kak88Z8CfSbva90CR91TSXg4Eglta8fM7Z
6QCAEwEFv0QPvzIZIt0oxm0sU8LqTlJaLh3vpTxYTmYegobXxTfQvxaku9uqGLfk8qUr3CDdSg1p
rKNu65d+cpMPORzZVz8Q8oMz9fOxCsOJCLiIqPukdS9702gB8xbxmtC66WK0eL8MWcAnLiUhBysz
D4QFRzgKVLexdHBLZZIOuhhqeXQns945pp1emEXSbt2ycde5HIEUOwBgLb+rLzNCrmmy4O0DGVBf
5vVYtBt8Fd0xarFeopSSe8Nnw98Js9jF+SS/TkM/N9emBEgftxQFisnkqieYc9PaFXEuCV8OiybB
yjbHdmtOs73ljPtj4AOInKGwbezUlCc1mOK9imb3xuZFvZaZ2RG2F0N6W5ltM32xSMLeRKWpDozJ
+5c0gBAH2D94SvHnXda4nx4Mk/oCFUJ6w8iU6mSi5Gua2Vz5RN/w6xjEEYOAWRq3vl/cl4nbfSAf
sGCiqmZCB6kL2TbKfVkQhouDtdi1AACfmoGsmI6h86syUvNQ5rAc856T7FrKL79s4qOKXH6XdNpr
h7nrMRA62XSmGwtQ04M/0GideD9x5gwKbyITwKc3OgAbkSxsXVTxNypoGZQULpNmRmCleJ/QkV3T
NOCXwME2QTwQFBhjoMGq4AQM44ci97ZOlHo3FgvDWqGh3TO+VIhNQOVHwRgfqVW8dRv70Yo6sj9O
TGQZCqbyKzXw9JRNPet6Y3fHHCc8XAPPtRknsYOOa8M7DTgy7yUHgCxGVieE5gAxAd0A7xM0OZ3D
65NOa9LIW8U4wu97E1xfr1NsTVpHorDyfTB1zR6ti5pX1IvOyVvM/dCxKFj96FxPjo7IZYAAGg/r
5FTm6a7RcbpNjTMqNuz1PAzZyivINsSycNvHdTStijSZ9v05npfLHxQvvRt26WUvKiJ8c+kRXLjU
o8Q6R8Bj70BVvIzwVrWsrERM4aax3fR6me2lUt8Ub//ZsP5mwwr2iLrwl2OLN0Slb3/jz90qhd0f
UaDBTNhUdMge+4xvUwvobX9QClrsojxc7JFGLf25WQ2sPxy0BaYb8Aw7KL+px//crHr8Xx7a59CB
fOAya3D/nc2q80bGyM+xMOCxkyQ0yKXfqgv/7wrtMJhkRQ6k+yU1VZt/pfkZk4SLOdPohs0w5LZ8
ysskG3ZCOvA4hZCe97LEZVtfWgDeYIu0hgvnjvwLLG8rYpi1TTwsMWU89mZlkEnBRstXgCth+5Ev
Ddy1c6e1U45SOZssH4V9wx6zZRqYYMOaH9NBJ82WdJNxP7josGy+ISPq1j2+TRJZVwu936gnAGnh
o7er4fy32VqKlNf6N7uQt1pT9HRsPQBL8B+Pnu/bq9MImImDUN6XVsxTVFLSBimlBk1XevlR4kUc
crGyuvra+QTLPrj0GfhpNq09zqe2gG0+fvds/c2W77yn+2eNDY8rCNiyBi7bMFSYUN1+vGEBWquq
EX3ySkSPV1y1qBWKo3JHRC371PCzuUChkaUWcWRpG44Q4JcWM17OV6Z4JlBZ8pEIyOHLj3Sfyd3a
qjhR40aVC7diOyDIY4RBSU34GpHFnX+twMryxypGWbiFzIRRc/SbZsaPuz36NVxkRj+M6Gid4GZ4
s9uL0wLdAvKOL+ZsSP+dV2dGcw+9olG3v756vFHfbSv1geCR6IRNz2LHx/F+vHiSpmAEDCt+pXdj
W862LePCNfl084YvJCu5NzPYQgbP0vdKg5ApKwmme1rDQB1//Ut+3HqefwmFEx0szKLs4N+2UCwn
gXW65P7rJECVXfNdzocB6YbhBM6RAYLy/H/3IqMbRbWLI9wyESjpRe37N92wEiNg6O68lCNFstx0
ssWTzacTHPH8m2Pph/C7h5TrzMLlQn/hgadBFby5oTbuN4JoPPt1sRKRuV9s5lApQVEtKGSw752+
xCWgC1iKv76sPz1JWuQOvsE37RAt79umDvto0Ud5IV4WMxpDtcqDMpyAaxsZV/fXh3ozqtS3MEIA
zawRxTuL91vRdd40FnWYXb0KUsnx42ZIKx9Le2CNWg/se5P2ZolUbFaXTYYjzNx6U1qop1wEbeus
QKrFS0xBG1fRXZ7TN6Bin7QXspiSPpSHcXbd6ndC8Z9uDA1OkkAD+kX4/n8y65DYEqKxNOuXmogp
fkVvREX+dbIk7IoG6njjbOJqaobfgkt/vjF02ZAmYy6xEXO/XbZiQ3fQes/4rDzDQgBIyEyGGITE
wLQ315ZTwuE78JoUwbNMS3JmN13f91FLrOZiTw9ZpeYeIkWIGe8z5n6NFwawJ0/Q4F3xu7xh3os3
DzA/MMBDx2sSaXLC23vrJTPw0LFvPqdhhodllYdyULfCX3oeKiUZPE37SKCVvTacOONtEoRM8zGo
fSlZLKPCTeQLD2CVf/WFTv7l80ek90zHBgL6128LMFtgVhfCnBLiupIIkd96qoKCJ3VCK8jdqXuM
qsgicTxwR1KIaizRhkhTDmjLpQzv4rQdlo9K6hJi1S0q5lrYFP0s8mQp+F2+s92OTIQVYdSZntm7
efXFn8GzWCtniIW65fWPvA81/FH11Cs01Ajr2jzCmU2UmvUBRwecmu0IRkU9KUrz6WHqO3+6Fzn/
ZF5hwGQFWaWp33DP7HSZOTTSHaRr69xpDV50BqgEdSDizfM02UkcxbUHoQ38dbfyLRTeuOPZEFY+
htQlHe6GOaj4mMluyVmCRU/KPbvnJOLQRjZH/HEG5vpoRiJb/9oh26T7SPwWYS4xKuLsqnTrUO5n
i43xKe0MOR7HZVx4lpYw1isf3l1LnkKSxvlYmvGgv5ldiAYUfm/INN9eN27dFsXhzxPwcniFM1na
ZuTnG0jYBhfUM2seP7EkehErq8A0qm2Hvpf/Am4nK2iFbYFM+s9/R0fIWr916CNk6ZpHrpmXFZsp
j2swOpnk0EuLFP4oneb/sncm3XEi6Rr+L3dPHyCAgMXdJJmp1GjJlmRbG44nMU9BMP76+4Ts6luW
u+3T+95UlcpyJsT4De/AOyEibEYVTv/MyPlhhz78aZ51Vl40lRpRYHUydPthIliSqG0lCWJYulUC
BcRbwTLLpY00t5YoSTcQq4LzXr/FPKGV8lgIcBlgMeHFs6fwuAG2iSCFqpgzsVDDeabq7CTyqFMN
2+7C8pYcEnS9TIxhuwCvrmDZwqRK3oUVdLZijwwFhdTzhBY5Qrnp1pjYrXAWwZ8hW16ZlyiiLliu
e5FgBosIlVHN2Ul34hQ4oPcNeOXQwqjhSRSJEz/RNu3FdBENk8entGvrsRXGAhHSgpnXkrtL4X/H
I628Pf9zHgvzLF6UAQSKkSplC67QgVgpYgsQo5qA1PB4BahHE7clyE3lNwMkKjQKR48fEF9cJY9V
eGj2V3E/UWl5HpG9Yji3UJo1VxECIhStF2CIx9QOzBI1ofV034XI7t8D2KvYwLLQnA2EjhtRhjfn
7PNVrZs5PLKSQKzohTJbmv4JH6pQaWEmfPwi+BeofDHdYxDsMgpA2boB24zFHor6egK4zgf2aoC6
EQOEGM2qFnmu9L7D+tHxT0tY+Qu2JvY9uXNu7PxoHZiTKatg/x6BVh4pMaWdOGos/nANZW2D008n
u9tu/XVdWP7hAMzKO0Q1ffaGQAGS3k2ANJYpetFjhuYfJIXI37ROlpPWE6ubGQb5jITGEfm3YbIw
yIHMB+5b9bodkKykzDRflrRieUbYWsxN76HU4eN/7cCxAYJTrGn7jrJu4lFcHNoIuY0Aq525OnAQ
c9wcQB4Wa49s4dhGEZWOIFymXeIGOjsliGT6KGaGJcds8GWD8490AIftyjsjX1JuNHxVhhNJekWr
CeOWG70ABGLx5IU5UqSe1x5biDUx69Iel4E1lIi8L9PLdms3/qxH71M5N5svOCqHvmGU9nXJfGBj
a1vO2N+Afnc5cpFcHJmlBhl47oJ2rdH2iqPeNqcgWG+aQzs77xI9HW3dzfwmKUzPn2mVmHOptCeD
z9GFiQgz8OMcT523BIyfzixOh4lRZC84rh5YUFOvxNoa489+9S/DNWWlh9Ww8eBIiox8tedQGgLG
BFqCu37tJLd8DSKVnYdPrrlktR57luMCzri1uJTVyvmwhpnlvVlsWnEgPtcaS5+u1w2vFLZwwNDC
c02IZdNZX79Q+SYb+ZGHcOqbwZnbHtuvsxJ4Uo9odlbg/nA+Ftum4Aei27/vk7lJDp49Jv27BOuF
9RI1uorTflohzXQov84Wo9TWmWRjF+NGOH0KUeBmBH8sa8rY5s9WrxUs3C1fTOActNSyu3hAKH17
dNBeYIyFVJGad0Siqc3+tBBS17EHA0E6uzlzZHfj5hy7+wEZfo0qzuaswZPVzJV6Z9dLdR+5boQu
jcLEs78Imo4OX9BOY/cFI6neulRpbXnXCU8qsJfr8v4JnBDg8FI2bfXVK6oN9XVwSOrTTAdofrNF
Ftams1VBaOqEP3fNju5n5HdxT4d7GI/z7Id4pfdZghpEUNu1cyUqrtVDEurJiXvjg8Ihv4T9VnAL
T8pb4nQpJxPSb2pecU0GlI9BNQzQVX+MXGf03gUVErZpXPRopVjY9bhr0uJAx/snrNMEq0qdcZNV
sdyqedv2UV5ttjomlLjaSyAiuI8HuryeaQN1xymSKfg7ArTtPi1AjXDxBcY1BrxIiECzdp2YOnFE
WT1I9RDtYTHJApsc6eI3g2nHSbpC7/HPnnEAjhrbPnNmrPqOSbc4kDU0pJychoTwrdsOoKP3MA69
Klq6DHLt+kPU2styj2au0NcW9BXrLcosw/aoG1b1zldBoB42CXu5BSoXSNWdYbCZbuCDJ0lXJVq2
qjxLco3l2dZ6YQ1uvGyFm8VSbUMffnbqImy+Zi7l2QX7Zb32APx8Wq7xKFFWQjlk8DUVv6TpfXQa
StuvgrOktsrghq65VZZnU4AsaoUwNTI+OnLiFjcPF/tzX69bcAiEFsjOKJeXKXD7e4m+7bVKAuct
0jAtpeq5zc2F2tWi7vyHefW7ztt3yawSbN5snPLKE5ruPtFYgkRGd1S0HFj/jaUAKJ0pQTeYayXi
IGFz96EJHxUXONsh8wJzwtGwNxFmbiFJkhwplM4pKjFi6ObwcutTi5AUFayJqweQXMEtA2kqdTEc
RnVRJ8fRb02cEgylyRxkAeGXUow31YAox77Ogw9+M5jKrdOhDhmdpZam1tCNvc8x6Q8DkX1YgsZx
zzzXJwqebWI3K8ZgvuMsK0IMsmZAcbMxwBaILCPP6zTBJk6R51aERA1AXM4UbGZsXpS4JKTe5Pu1
MgdiXbnc0TOgXUITJJw0A9Q10tyc8MYWnlSlmeS7RyRW2u3d5OFlUMVtEi18mF20CXtp8FvcqM6G
qDDnZOlJLAljt3AinqjBi9VRnyIVmXg1SiZOG1ePKvgMN6RpjwiAy+YqbYuJa1F3nYmlmk6akCWL
tBkjLMkD7TyP1rCW0Z5m5jTCNoXFZjvg+5KFsY1s5TP8nOGrCZFeyj3BUJtb6scNBjGecUQ70lQs
gmg2T++IxGIgIQkUUXu25jVJRzVaDCzHTGGeYBws/KBOf43E1rOFdmMnNiJS2WR8Ygu6rfb2pdOs
IXIpVmWWYg4fmpylXhL/A0AOak/fp5EL03EeSf9GfR/i88sbC1gfzNEIH8cB7JhijZfdbpD8k+jj
VEJ9K08079J6PvcIR6f7TbominW2zhSflBonvKU7uzFBha2B1kJqdleTyIdBz2Kpqdc5S5zPEMb0
3ivRMcIUMzHR/NTSSvZPNr6JU3hLP8Zt86sA0D/Ps26e2QdC0BmjbVsSZN5Xg2e2CFrGpuDVFD2/
kExog34qsMYjPOzBlTY7UJU5ONzelfQK9+n32zWbppRLc2zBMwaxEB1RYCCUiTeBSLAeEzyoiaxt
RqB4TjaJVG3M/ze/TVSitlsMNyXXpZPxXG6cZdKEhqDOUhPMi8487fftUWrgmvfVOLdMqho4+Oor
sQi621M4A5SAMyXheoC9Yy1UyGMRE2BkojyzdqvGjZprLLxSRGHSCpn58YIPwDJ9XyEjydyO1lTz
Xc2meAW7mwAzYz1nQmuUREn5YFjk6tOk4OPWyOSOneZwWWdPXHmzo8sGqT6XdVbbrkkCIVORsUH+
MhMyeBHhJYkn86xXf1svBZ4g6yV4/XWBUuOKvvw0Zc7CoCTfI58htSdijaEN8YY+y5F1JzD4kRGH
WxMRGCxpSi/4gG634KeUnEUdVsuyli9iGvvt1rZQ9ItFBo883E+ZSgckuYJOjPfBZpwF6OjiNXQL
KNIk3cggmyhMLY5J8mWkTCCfQv2a7pMhSZk1VOZNZWIJrQ2appowpj/KyG8BnhKEcAZsTk/Oi611
h9OQyR9YToHP11PaSzZzVHacycGpw/gQBGojF5b+CbYDINi1DImjvm+9ZqpMaFVZddTUu7VHLgN7
qWkazMJoZlM/ghu4miUp7XBu3tjegvUWA7KZjNuPLM1Azo40W5xsGbEhNMk9gtd1LjDLonU73gUL
blTnEPyc6hSC/h4UF5vlER9ADZw4OoELtHxM5GnFWVX0jYlE3cblFIfQ+pI1YoJJy++8Lyb8ra4J
+McgHqhcudUhSieTBX5PLKpkMw/dbsu8pjG7bAVgqcONjNebwoKFTpIEBD2eswa/7UPujObRx2bh
JjyglpZoDUCh8cpr2VEc4RdRW95uoZubA0szjVYWL+WQ5w1iX/mw0RnIRFN+Eu1iMnSEy83Jgayj
CXRxfjSr8vcFwX9RMwIhhUYMDR2JZ8WrAisKgPDEMUv8vCTa5JnI31aZv7cQwKuAwo2K9/3DV76u
qlGmCklPPVPOc8Nf7JPWrmlCW4M294PZdG++L40KAUaurt+/3a9fZcg1QLFMw4jW1Cu4nJulYF2o
TnyGgGfOpzbwxERQyGHN2fX773qpBv69foywOGVqAVUZVaFfu1KD7QzVDJ/h8yJqjHgvx6x2WYk+
enBswwyRIe7CLWg5NMbG8+EqjFPVAyakQ0zeTRXCdDYiUl5z9nw/mX/0PhqVmhShkf7AnQA4fuan
3z/+L0MlKAsT2DowjvDEeI0AXXAV0Oks/U86R8cbdLetTFrI5UoK9fuv+mXNCQrDKLUGdILQenpd
7yaMyt2GAOpTlIViXE/JGhbzo7NJs0WCJEUI7A8v97qFAinHAWqIRBFVU/cX/pHqBxGm1O8/dV5m
zii9sNlux5yT/W3qogG17pOIeJ9gYuXnb5UrbfWG0672vzek/y2C8/Uw0zUFakuRljap7zivV+SM
qek0R6l4oiZB6rhmGVWqEIIKJ+B/NsquL2zeViDJBHxPvC5elwSGWKsVztPYtLK81l1lUvO8IFM7
AVgyUePvv9AA5f6+/l2fNlgIThn1fLb46xWkkT/nMFnVk2roE4FtRy2TY45DcWVeE9VXaNFnebpC
rpWln3Ez/v4BXpSmfnqCgEWMnAhqMmiO+cLlCf/WFyZLzCqnk81TD3olbQ70srbyQNUji4qz72HL
pDITGgf4bjLpP4riFnpVpBd1gFlWdj5/H5wa1hRjROl/ZRe3iJORLWwVvGlsQcu5DYd9KDRcgV3u
lJrTWs6+uSyxZW2nFvC9bYQgBacTsYiWI8UjB8rEjMJuSYnuEBLMu/o8p7UcbntMkU1sNcD74LCw
FJ6ylJFRo2DOAP4T24AdM1d816mOx5LfC/QDoT2nJpo9JmgqQv0S8bmOCZaTArlRqjZwrhn/MC0U
lUl3WmBrX2ZNSVn298P/eltz7sHjQdU5jFAN+GVpj2QWmWVv68c26wUxa9ppkwJFmzYRwI+S9e+/
0pzfP004R2300qMBFYthy6u+Mo0yUL1DOH+MUviX4jDmUVBeI0jnllh2DjZPYAQNRpKoBb4zE4F4
jHma3z/G6zdHvwbJH7SpIR6y515DmhtQWjNzmX0sW8qfF3j76voBNxFXXbmD/oOy2+sTBBYldEMq
RQEaeaD/Xy1y1HrTPOuG4Wnqu2J7RPzRLAtkSkxk9fv3euW/Zj4dpLaHupuk8yaE/So6SOfFrqpm
ch/wObbDfUL5UqdHtMByMt28mLkddjS8a/4lKdiwLhdfRI8ka74KEZikvt5ekvKY/n03o8BLHWHz
TKCep2QoQO3YFWjgZKastVimDBBqEGTZ+RQGpkwMfYjfnlDO4uWs0ucuQoHedIqcqTbnNQlBiRGA
ZXGOVkfENVLv+veD8Gq8GQOkM0HguXQg0Rh/PQY+6kJYIozLw1gX5mZOWloVkIRw5tsef/9V4tV6
NnPK4RUAuAi4Fn/RcZrbjpqq4yX3ode+fNfoUzotp96E+iNHPUfQ9957BUiHUWiWxlRJf/ykptFU
CKzZZnB9T5p6Jrlgx0nn1kNCRcEqi9Harga2KiC+vKvL+WwVIwnToWwS0uN841Cbjj8af3SLTBPJ
qgqXvbOF9safTW1tJnzzC77FeumOg0IzXwzd39R4LT8zM1k4RC3zDsCZmXetclNY/tFCY0eydgt6
Htx7SUKVA/keBz+s9g/3bfjz9EmJ9Kt0bWDsUFyQ7Xk9fT1vAG2zS75Uk5AfCoV+ztGlPXoKyrDz
qPFn+ohkUHS5hnmV7DsPMXKsf6tHQPyA1ZtwbGiaguKM4NAZw2jdPyTkrwMaIsOUxVk4QQzEcrqm
1fZlQhAEWSWFT0RMLyd4M/lJe5lhmn7NjZRtZOsZeFxrKMT7jT7ydJFg6OIjkR3Z3p6qYflobZYm
OUCteo6HSOGSjtjB0asscS1XNe11t/YHeuLVY0YP/6KqXLoERacp57XlTAtPO9UTqAn/cl1SkPfj
1tsOyGIl713u509d1jr+LsHbmRJGOgxnLmSc+1mK8TEXIgMHZVtes7eo230E5Th8xXBOvQs89P6p
TY2nYhmLI22CtYNNSXMZO7cIAY/Rq6cLZCAOGst6CjZZUbwf0S6kap4gIa1n1d5vBVxJwk8LERP4
5rEd2HeeXu3P7qqHJ5RiPMR3fVy+lqC+LOWQHzy8HP+kPPbTncGCoK3MYeYTKhiJ0ddwmpbyj4Rz
jR+8tJfbyEVa6gBgFLJLoOzg4fc7+ucN/f3LJEA5c80Tw72OSBJcNMjJo+Yrypk1GKHFvoeM6A67
ui6vJ0+M5H9pW9/RIoTo9/vv/mXlv7wmWB1aNhzir3Fgoz/Ac/JU/bVvMOOCVdihIlUL548Gry+f
9P/X8Mtbeq4L8CCKIKbgm/Bz3LW4gEUnsDJfHWDCEzEP18WuJeHJYWVX8m3j1olRobNgXld+hIXf
1OVwDnI/2C+VBvYFWC94owIVXTRWLx+4b5E7oq6oH+ua4MXVTd3tXO14dwg3Ns81hjhXDeXZu8k1
xiaYzWl8xR0bR+oyfSNQYsN3TtYB1ZuSXhwkIAprKlq/Fm2qaSWM6uikvv3JRtkk3pi/P8RCr0B4
DIkJAwiDGBcUH93XIQG+QsPiwQL/6o1m8LNcZGeiLarTsi2fGieqPgpM7Pajm9L06NG7PEFKhab/
+yXgm5H/aWakAWsaPAhMQa7xVwGSUyY17YNMfk1HGgeU01SJ2xvCE/uBLoneT169nGStl3GXW11N
t6etTy11q+upCya9g4lvvcGoxTuJbaVwhkfRUw24249VaV3nayOvVrGeNaIW99RAqzetxaTtAhpj
a7zphbZL0Q5JLLtIviVsnNrj7OXPa1DkN0Ii9I5wln/K07Z7U/u6MsLPw/h5rbLxAWHF8s5qYNvv
gsWZj8LVkIGxJUzvZ8woYH30Ni+QLTj6TfgYV/Sv+4JGCHfiO8+3wqs8W7330FzgmdB0wC7m94P7
MyyJKWZssQoh7A3IZuVrBdGRkjDzLpOvfe75N1YviscuFyvU4r6xb5zZUJx//43Oz8DXl68kNiDF
QTYECN5rP1xg8pWquTq/IT3mXVA2Qz0jGVfrkkJlcaQRoTnp/VR97VBrfczTRV/leWTfWVMkjr9/
lhd9xp+XFqEmx+cLOTVwXoMB1Vz7A0b1zbd0ocFA3t4mT63asmnf16uPe6ZbUuGoW+gX2qdWuC+y
wD9h4IhkfDVHUUzDE11/1QYS80nA7pR+KaE31pBdl0E+nKDGLDfBmCGd5cvU26EX5s67AXk6dNw7
ux53ygnbGHK0351ZDMuxKLV1jVDHxC/M0rp6EV1cUXGDO+Ln3TGdub3j1kHzoKbNS0QpEApGRL/C
5HCaC3q4ND0f/YnUlFhkeKehCp1ndSXUTkngMqxE2kVxQNXvFtJdQ8sVRB2ekAt9JQ0DKI0HsA/X
cxcN8OLyLgBXG7qtc27U6dSZHaTue0D8+QdEIvSzh1M4pZ6pgHT++9n59fyRHnkCiGsAc4Y8/OpI
Fi6dUMhD5Tfsb200vuao+AzKY6VryJSRU8mv2zAm6ENYn1f8DRvQo1P3Jy2Wf7VgUbYmbBYgV1HB
Mffj3zJykFIDZgSy+pYgWTLuXyYk2MasusqrQKP6OUX3vWrGI6J8yaGLkuVjFuLiyDpBXu0PY/Iv
NqzhUEMBxs7P/gWxu+F5MeEgU3xLpR286wNneOtWlrWXFHYvuRfHm7Hq9UXnNfU5XGHnWjeSi0xW
ernNZRYCSG7m6Sq3RvEMcr738eXMy3d/eMpfQgaJkoxAS8YFM01S+WrIpjpZ66j3xm9Uvfv0gcjC
H2IqiZiHDvZ04wZTSU9p2IJwHyq/fc42W6Kwh/XCfCZkOzz6UZVe2XIuH1zljXRIuAWOqlAVw50W
MvZ62r3f19t/eRb3a/ftf//n09caEia6XSr/ov9O8gfXzvz8e54FsInm2xedfxn/xV/7f2kASibs
U5ADgaCC5v5FtrCQBpCYRNlAkymWI59EYfMvaQAXX2uun5CSNQ/Bf/yTbeHZ2GEBFyeBBAjiUmX9
T9gWXGo/BRF8CfVDDAsp1aL/baMe/fMm9t0VLDhN/VPbpA5wybw6ZPSyqGzrD2tQfg6JyXYdnP1D
A2IxRpJi2C3LWl6EqCHGtg7vQxjmF8BGyutlrK6mELaWtIIbPGuwMLFxbZPFFGH94C078q3t6Ina
3vfgvQDP9tGxiyxgbhQEYq6Auw4M3N6GOQHkLSwPTi+XXerwnRbNt7ggvo5tu7f3IKo/YFt1P4IP
ghfWUlv2i8+B1dkA4vj1Ep5e3E5SnXeT+uCEWUexbxK7gpLfoU7kI3n0WzjBnyfF19MR+1C1+TPx
I+I1LVJ0FJzvHDBDdJd4n6Bb9MFW/YcAnC+oKKSDZovXa1Li16Vu7P1kYWylwvO0oS2UDAzNFCWH
VNfk0kX5TMlq2QUBQ0nzcNjbPR9aTQwBTjgPvALDYIfneEcN+0TxWxOeMTH5pnXIEhKKkXbxqfBQ
fmoraH9BH/CnpXc3h6M+mL9ZePD98mhEoMYNml26MgRdJfTB1852l7bVXQTl7FAZDG9Fu+HS93oe
f4YSN4LdI4OE280J8lAO+GgmgCf3Uds8r03fclUrF/IjvEFgVW4KSCf9klQWtjcquqekog9YQINt
Ak0bA8lggjUCBOQKbqxQFr9PwqRE4ypIYmqb27FDL/Q0h4yeMGYmsy/PQ8e6f1kkaOmFIKf6YQ8O
2d47q7irpxBYhB3dz+hYxG7JP2rbv5sQRozTovTOhaUiCNXjsG/TermQESzHqTOrSPO7diRv8sEp
AfXAcJcToWWQYFu1uSyssaqBc/v+Dev5mXau2NFdCHfVnH+GR8Dcb/yEUuICbs+CIqtD8OF08jFw
ZZTQYATaLLvtGq5yFNOt/PAy33WKBO5Usaz0zPuCMotM75ap7zHMHoOwurCd9JlNzqpGdJd0mtUZ
SpZKa/ZC2uv1ocr4kWb9Z+HwIOy8cDdBRL8ZGS6ig3sk3PVh7tknEvvmi5lA6TqT7I5IDh8kRBvg
psxwOLKYQnbjy2CggIunjsWvdmX9uUah7JDYsr8A6u4f0HumJV8OycXaRM7beoAvzbWD3RnybrEA
LXIEX4eRLLiOfa08htSeeIY0Gy4xtVrO4O6CCOuTHL0cWJalZFPCybzK56LZof3OKkMnh4pCU16H
WOHthc1BgDZ/hVFNWh1s9gl6W/ndlPk3L9tLgMw72c5oxDAqAE0t0jztWLQ74sMB/eeovEgzuzlb
bFEaHA7bsCRofJlbYkbTkm6uAijWHCEsgabrI8yXGJuXVb7JElXyTmFFhCHVYQX+cqRiVe3BwEEV
NwvArHC2+F3ubc2ZWDnGoon97W3RdnqZZj0ipqkVy2gpXX2YUEf4BM3EOvkZr0oHmDrK6OBSFwlO
Lz//nK/8x+yUzykwD3jA7B4kQPMYX8wodhsnubDV2FxBv1xu/MU/C+fiM8hAFCPl3FwlpVuiI8uO
AHlonVKffdpuvnO1yiw6yoBF1tSiubKGiG8HD8rZW4Nn5XBwNnzTFw+B0WoAIbnwYQ6cXW8QQSy1
LfbAU2AZu4M6nwNKi7KZ0KnOaxu5NzRoLSh3SFU6HG4zU/eCnUpG9y4jewJkgNRDpzlMgJrgzdvz
2pCB8xhYP7sIbNoJjWT+gV7x97PJjVA4edm0Ux5MsZVa93x2dusrloTyvTt3NRp6mLjtfN2aa2dm
MfVLdxyCnPlrK3tPithcLYG33IwSL1nPZ2gQeY5fxhqLaGjGNR85Osyr1wQYQi162Fu0lnbQY8AU
VVZy6zobcr8tIglh0j8jkb6T9ViATofAmuacJ55V5UdHqS9UznwSGBzr214+1q3XHkoru7Xm8Qbl
6WIn0K27WPMFpSqrQlIU3TCcUGkUoHXVLBaSTVu1PZV+VU87eMFecIhCZ7B2gE+Lzy7k+b0DywHd
Odu999Oy2tP66IrrFUj1BYgiplDYCU62SYpO7qGwe0CWba5vs9SjrQpvAXOvIxCcqYjXUhsP1kgN
hw0pckjRPc59XTJ+snTbfkVB8YuX2+24S8VSPoe9sGBDAiHZ0EKNFkR8GzQLoroEsgofp0eSvIDb
WxfeZO1TrqI9/fjkGsDZhpGYAFhyUyJFLM8xWBvqE1BCbX0AyT1h/ZtO1VWSRQK4CdLLQdyvZY98
xgRT5pCim2W9bbBDRr89+ENC8HOk/RLXmCYKrgnE++Evei1VZLmbh07jSebrekbq+gwBJOQICu8B
b4P+R/819vI/IgV+zkN+fK8HwN4wi+gEv4qn0AVxAfZ148mZXw479qDIy6/NTFgO7/H5bwHn7feM
/Hfam0RvHoUf0kC4bSgqvfo25N8tL9+a8VStLBATCURlYh1SC2G4l2/6bxLwhyQA2DeFmn+fBOy/
VZ/mT+rb3xOH73/nrwwAmS9cUMCneJI04CXM/yESK/1/0Msmlqe3SHPVpfX4l0Zs9A+WLtkBhEVS
BGHShh90a4GyLCAOYLABfEIj7PqfJADAWF4lAKbD6tBxtB3opyh3vVpCZUFMhPlyf1pxXvugC910
+6ATlOMWlOfiRSrE87t+va1aQNdxlRFU2TKCHmFTlJlyHA/RDHU+JPlYU/pvyiCmKjV/W3Rgmdu9
iDHIweo01bcNMKCdGqsnz1JsRVwyjk2KQPMq7PSA4GCw7hjE/IR8gP+u0Fx4WKNuN1Xha5oOI3Gj
hNDkmea3uqCAVRIScLlbsgJ6mql+h0SbulyAZINPF9XOWvzibObhXEqLQXeOO31yDtFHv22i1LsA
K/BUyN76kFc190/fBDuvX5oznBZSnFEJlbtwQGVk4ZCol+FuCtOvvoXVQQOqHnUk9469Xh6jqMzw
fxAWqmqNPgMD/dwpkeOoEGkgubTVDn6HBarbaygbG9+eTe5dAK9pl0t9jYY9JAyXIMMJ71GcvMYR
HV4hdc6535yrhUtgV5UNXh3hbP4BeXNFrCbsPgDqgWDg6AU9xvSJAPs8wIBxVwlxV67lU+8T+8m2
fQdrbfsImdned7SA9rTGxuNo9LWBpsUswftFJIdEFsGuxA2CR4AF5/PRUW9sjzeJVWlpWUc9lQgR
DlH12JLMPcKlIiYykT8KROJIC3/Zkfz0EHLq52Hrbu0AjY7Esy40eLNPCLKoexQWJ8rlCYYAoqsO
WHXiDzBDvwk3xOJ83b9Bbkd98MrwPhjy9qxd0PVwhjUFKlvKw0ZR5RT1QXhQVfhQbZ3V7zwxP6Re
kl54kNAlIYqRvo2S8YtlU3uKZW+LO6ygxE2d91gmIAKzkJxk/XaosuadsDAOp/2ssr3birdDpaPj
ECYo6ooM3Cc7Z1dAzttnIDGgQi59dKYAVJbnaec4BAhrSyfUDwEOTkF74zrLeEkLW0OWUJb/IIEQ
Xnp1YD95vPh+QLA3rnNcovYwl9r26IQqUTsBRP4Sro+vz9vCRvMTdt/6bDX+Zp1hbdQmz2sk5+vK
xfNhlwI4JALMKVpy4YPDL5zvNar/HvR/OOgdjmfOxn9/0p9//ZS1fz/mf/yNv2Q1HIeDHpo+lVDA
Weg9/rPSg7XaP1xDYUTcLwDJ8s9j3ouQAsdPygQLwBtepDh+HPOe8w/0ynB8cin0AAr5z455jsmf
j3nbfILNYyHP6HiI9L0+5p2kJ3dMIPZnnnWeJkALLhu5ru4Bo+SVGjwatXUpmgt46kH1Dos/P/pM
GfNbRoLxDkdjTLKdVtwHgbO8L6WVX8LrX2giIViXYGMSoG0VbXQl9xbdJP3WqtyUsyCFePBgNz22
3hjmVoLWb4RD9oT4THEj3Szqd3Nfhcd8yJpzqqMilsXYxzW+w/umrrw9V5d/zHKHzLOIxruSI0Sh
HTEnV5XouqthdPUZ1e3+Ah+L+StMpiev1uFXLxrsjwBUJNycvHvCgcKO4cQH54EYPqGkharPEmYr
B6SrssttzZaT3bUeXEGcVprCSpa9lNMxg1OqklhxI0yKRtfo1BM0kUqPO5e89o2VZe77aV2uvBGn
VCdfqIPkmf0WVbD2LRQ2rJG1/R751+hh8Zf1DYgOcda50ftlCYPDZIPFF1N95xUWJiOjcm9UXavz
EZOX2C7y/Arm+3zuB1l+DTvrE4QRf2SsOy6UoLzsMec5q1pr+jyUMjlfE18ccX2rvsHkV4etCJ1v
BBb4aYSDak+Rm38bR1cdInjXH5CjoC2A7XJK9SwEAF1X4ZPrjrjhSEhlS9i+r/P6fQ/05rrpO0h1
2Tx9TDQ5kBAAAbwyl7HfSXwpSEwnqln15MPgzqP6ndwWL9gldtadmxX5gNxXcISbS8sMS8PyJN2x
z5Hikpqnn1ABs6ZJnNmTCDDTriC3ojztpG+90ilv0Vfb3iRzZsfZ5vVXmXCtYUdy7PMtoj2gTeKd
0dZRGEFZIn9H6lpd+XW3XmVrIK5pExRHmg/z7ax6dWyGYfmi4WJBR7GFxofI6p5p5hRkQjOCYTX0
viu1JflpgSV0pbmWWiiIcwrnqrLiquvocTm6SREL7eSl00XYQORa2jcznBAgBhF6lwoKEEa9wRTh
BD2MjxzvWMP0YnWPpSj7NV6o7eHZlAG2yVw/Li00aZBLdqPLqa5Rg9MdbeUYJSd1hDpzlfc8lOyD
7gLZ0uEhpfhYgzJ0s+d23NpDGKJJCTU3uELL4CsqHTYsbvAZ1D7SgLDHml0COeQwRScMf9GO3sOK
hZCi5GWXNPltHYbZsaJf/nkihwQ+4wRfyj7ZLralBgITTBgqmduMhpyeP0StJ26tMpF72ofQrUjO
07gp5/WynS1Px2GYtBdhAEscQic60uvobrfSJ1lG76+Jg2BBD3ER7vmALdtbBGMocVTz+OhnfntH
PJKtFNxKWm9Rml9anVh3Pg7OdRxGvFIAKQ5tlCqiZyJnRHjUtB4o9BZntOjWQw62+GFaesp1c+8c
Mx9UW0bdc6e0l1xDeVO3QYBIWxKq+xyS11tk2E4Kt5Y382hjFrLIC39kW++Kyl3O86SeT+EctLdF
7VqgDJyBAnYXru+wMu+u62Fy711Q1E+57fR7KyiT3Tir+RwL5Cw5byg8Enj1RFGQjcXS2ddImR/s
pp3vUq9XVytd3pjDE7Pnkelu/SaLmzqHemv3EWrws32+9Q6gCz+46by+OXedyT2vhxHhBqRP4wWk
CUC1JD1T2F7vk7y7t2S3JrsVCuO7LcrWb7XdUfW25IqCG1LncoX/xizSxAXLkiHo75dnWCqhN5dw
kNvupi/zDCwcKvDese+aNA4Ia67thVZoi67beZRm8z4psQQXrZ2dUAqtYmupooMC6GPti8EPPnIJ
bieUdSwE5FAKXOZMxGvwf+yd2XLc2LmlX6hRgWFjiujoiwRyTmaSyUEkbxAUJWGegQ1gP/35UlV2
q8qn7eO+9oXL4XBRSSGBjX9Y61ti/JFFWn0WzLqvPdu5oBHlz/imj1iV8bo1ioIKTEoiBXpo4U3U
Jm+miodTVxbXvq7HQ+IDfARL2BzNWy+hKhu5AX60e91I/UsPMx1h1RiptYidbluKOg1Ma/bCPvdk
OLqJ+B4vlVxP7vxJgtUt5YvYKEhqUxJ0jq2dsBa3q7qxpy/NzOhKGI26Ot7kh4NVO2+jl/BsWE4T
Ktsr9myZ57sqGTUOrJiNnZ2K97yQzHJdxhtGBK9d6bXxMZWxCOlhnqHfR4E5LeaO2QerWPKE7McU
NX7Y6IrJv19clW7sqR70ld8h+F7nOlaSVYUwO3RT+TCRAviFhqYMsrEkwdGpkvus6NFtaG08veix
AzLQat1DzK7D4wSN/B3nphb0g37qXc26Eh9/P6LFIcBJLzAwAJm3ufeessUsDxEUeB4JMnZ8g5mp
IiIMVuY1B2fOxLarmT5ZURyIKvZ26eyMm9gbinVvjWWge9Epy5t8Wzv9uI+InV9VSk/DqYFdzAOV
bBAKpNt4YDthzkW7BnpRnmK74/jGR/mRpDorfqk7RyV799Nwi+Iruana2e67h94q7UfliWcdqso5
J5bxNE0Wu5ZBU1uPmKp1i6nruS+T8WA75UemsmGfZG68aXMaCAmif4c6hijyWYv7Q4rIDd1ZLK49
Ltx7hUU89HhzSTS2D0bcmG8kO00A7CxkBpYRyS9GmpJfoaQNRjTNDmZqb2oru+UT6pfcES+zNomV
7pXFOq0soJgMvJ58L2624+C1l8YbjGDuYRvobfTdy2OOwDgBm4nRH5M3hJkepekpEWI6NoRNvkr/
FgXXozFvVNGGwrHVD7stnhIYnWw/MveR4Al7M6BKD/j9MDJn1p3kVF03ifEe9SB2GU0ml6ypT4CE
l7vZmU9YacUzSXfVoUWVuab7ltuU0LFNOufRezcu81YQRPI+a7TAEBj9dS1NuXcnOLiQCN8ng3MF
iKKByAIgoMAABVb3QxvtJexo3leul6mD7y+E2MXFcR6OLmYccyXqUp6hXsYIKfU6SHS3eCagrHqk
qMqPVevxqrfBeqywPnnZBdSwscXC3ZwhRW5Kx7r5o/XubrLQeFSkkW2TTJAmmpjxycWavu7MbNzF
UUZQAgIP5761m3mfiMLYzN5IJmOW2cEkpnc2NRmRbR1Skmky1IWwqSzI7c441KqrNrY3zR+jF+Ep
7VtFkZL3jk24GxOBlbO0AsK2mj8R1TfvDl2zTpn7UcYk6fGLoFYr201WVn5NOKLW7Zde94Iyy5nO
q45ZiNvmJXEjIq/uGiJMA6ItnPWEDw96q4i/RUNnhqJSmPNKB50baHCSK/PsQt0L01svNpOJaV+P
Gt6gU2QcbmmgGBaoNhNys8FMaPqPm19iNbDgW40DovwaHfeauJZuRenRrfsif7AJ6sPZoC/zEaKJ
HrSVme11vup3otbiHYTWaO1WY9Mznu9zJiOQkOJE68N2KkaxaomnesV3cdu0ja69SpX+4Da8kFaY
5zLkUIPxOTduwaxk5kCQJhB1dhWbqFJFZTyCgR+zKIykl9SfjImkI8jtLPzyiVCJPBeHyPbS/DjM
nl8/TYvkqtUEvmrasvIrKmXon46hgM8WhiuDCk1taPtp7oYLVOVQG6LsBmtd5u+N0yTfJkhOK2oE
+5Wfqd+1eIo2iymbPQl6M22z9OZQ7730MEqvvWtxPq7A6tVvFk+elS/dhk/U7si9JKojXsxt6tpN
jShprr51kW7coaDz9uy6FE8wzdzZHZ0nxQoPpZ/tfBNk18JmcVVzjGx/WtvK767oulg9w1o4aGVT
PugTYxjA00vMJGIad6IA8ctpsIRUfaCKmUKtzKkvV3GcgojuCrF2C9s86lXP1ErvKAFs3SKGLZlD
2wHWzcKdz9Pzpn6eUym+sPBkadkjAXdZU2omgi0EgjpX7jqRMxOkUBfeyEG7xBnUC3Sb/vyI0jcO
ZRanUTCwXboj4sMMgMb04G+gdax6xpgj24fGu3i8hdlRz+24z3qDGrlvqvIwl1n2FAObeRsoPemZ
enkGNB8/lrbqgc9zsZmbZVvNH+i+bAIuz1okpw5E9CzXztjo+wXsyGMUlWj/4G5k21H59j7vu+o6
xD44xtZoX/D4GK8GAI/Xqo5fIoRbJ8GeMl2pipWYZTbNCPSRHKBR6kfXL5tHZIR9FUakq7l345yI
hyppP1wFXWjVqJnQRSizhEVPOq/9VMWCyR3Ig0teLMUXKIXZMw62aOsB7o+RMRjmllZoeM67cfp2
My8EjSniY1/GTchvVG2yLuMhxPOuVh1472VF60GtA6XDDKPEnr4qqj4qfo19G+yD5b51PSaI5L6l
1y6GO6wzJMQHnrH37D3NWJuu8vdTLtJ9olR2shOZ7ksYd+cCaCKRpA43k659LbxaPbMNimyWQThl
V9bCoQGScfmSc1SY3PmTTvyeqwAY1yosxibaDqYsrtWtTrIU91WnBFrbVo8PEZhzxkumxpTQr3cE
BhpBRlsGnaO6FbKG3Z1si+I6rXT7doLFa39pJ2Lu+jQr29d6YCd9MfKst1jLOTRjLXoKHSN8n3ik
ajq9DrJKOOqbtlT6dG/4WrZzkrrkD5Ta8mWo5mZ+UpOW8X7VBhre4X7Ue8tFsTCCe29YnmK4OnJJ
Os/b1HHLwM7qjXrMV/+rFKC0xKDNZxXP20hzW0Juy/nll/HPf7N8+Wsy901rBikNRS1VGdMd+7YL
+kUA17TzlBWWMZ3Zt2Cr9dEuGqbkGyn3moejJn43S2srs1sau73RRLexE2PtudFdMyp85GhqpLb1
VYaq9N9MYvj9d3Nurk/2Q77/VwFraUiEqpE5nfGUnd2GWpEEM/kv7EpMrn5RINM/cQEMNEUoRQWq
wr9eAAaVM02vnM7YP1a3/zgaPh233vy80P8ZSf6rkaSDs/mXe/IfkmmO7O4/+j/NJH//kT9mkr74
zfaYgfBN3SCj6MT/70xS/6kxI4oSoxnf4S1K72/qM2aDf0whLYcpJDMujgfLuUUc/ltqM+69v9ww
voWkgWwL6LUWxK6/LpvaaPCKLJ4dfGONB3jbcY0pdIxpmUja7bWG9YFrqoiBSQ4GIjrX1WIgR7d1
RD4hsD9hPBZk/uLD63uQFvMazHonoh02FJbLoyU5U92WzcA5Txi3upuyk6WYzgMstWSmN3YngeZB
uzndoIyXzkmiNvrM4+lhEKkbBYapIaJMHBfbFQXtpm/jsDHV8qh5kNNOgDuQH7T0SHq7uk2X1NY0
ul4/VTAL7CDrdXIHXBZL5Pm23tjeM0nMH7sWwEhfKItWs29HAiLQeDVHh7XDjXLkv2p4Imo+YnHU
egaClG4b19VhKSwVRL069S7Izp23Fq0Px0w9vfOSz+6VPbgbAPG8z3kpDqtMmvTxtZWgmhhqsPW5
KglboNt9d3q7fTV7y6xxUqT+JykGn8V8S/omPphpUrns+Ud0J0fHuqQ2BH0ChYz1kFl+MKPT4d+x
/BYnS4VxSYcoiecnlulKNLxh0eQA3ypExP5uMoAeVpoq0V2MPXGlZbQ3CcLaKuUuD35vLsTsZm23
WlISTnGHaekuKbL0G/eD/ZDlTALXEqPlhYbH286209EhzcZpiobqKVEuRAtvrO9rJdxA8u6uIWYN
5p2wpflFA0ohVg4xRJdaxGPoN0XNoMh19+AV1bHgXSxDuHrj2jCrca2xhkPGF80bix3hrhDZTA0f
tepdW8pmg2NM2/LSVnuRmOpTL013n9BJPCp9ic6j1tanWovHciuUxmB3VI40aDwklCmHVf8f/z2Q
CiaTO82+1SVoOyAht6tW+qLqDlmDe7c6lFE/FXXoDlELRNTstCsvfaoRepqin9QaNaShf/7nRP2Z
0fqvTlTcMmxG/smSp54+/nSe/v4DfztP9d8M/OdI3dHl8jL8Y4/vO7/Rzt5UGMSqu6Zzew/+7Sy1
fmNTj31ZoJF3+Dn0t3+crSh5YSX48IHZ+xCWxE/9n//9J9ZA/5f//asSBCvWP5yt0BoQDVi8ivFr
WRzov1YjSzkMsnJT76ADxjxqQMgRbJr5dcZ4+K2spNrzEPHY0ErAJQSdlp8trNxvoH6xNUZur90D
lyYEM2kWeS+sIXrJlRmJY0sA82cysCvYs6tuoyCqRoKJgbvGm5Ft9TqaC/eFJIDpYewai6oWLV10
SDKv+CblYp9kO3ovyVxnIPqKjkXRgE56oVqmWRysaZ/41LYMYYp1llgt43+wc+lNyeZ8451UfK90
dx8XhTqTZiK/gDMWV1QuIzl7sol+DJYqL9h273KGElgdqjR7gxnffrAVll/muC0DExj7Dw0SEurV
+EY47WYX9Kz0y3BecHtmdjzfkS1tTAzfxPLDLTXtoa4yph0uVuSz1EyW6xx2jEfAFKVg0CxxMpMs
hx6XKUxKbC2SD9XEFVmnUb+2ZZS8IV+N58DySm9LGrWFUYPUsMfFSJILRsi9zbEZ79KpiLex8r0D
UGe51eu5gURAus1jmcTkMSkwme5qWRIT7aNhjpBt2fGwHBO1/20xYBgHi9e57EcKOR4dvxsCM8rJ
L4tyZGy94aiVWdcOAT/YYDuFudnOGB4iTmi8s1hqP91E0h2v0i3bHfgGMoE0vf+aaFD9Aj8tOUKF
cprHtpiGg+F6WlBzcD/UP1OqtVtgtfEzu9q7xVinzi3ROmYi91qgMFg5oyDxmmAg2gLStGekxSCb
DqxPyceGs5WhSCY0m0FqF6Q/k7SZsDL1mm752vhqh8PwM3XbuQVweyRx9z8zufXhls+t3aK6J5Ry
Au0ddECC2NXwWXWWg96SYc5LNM7ZXlpVu1b+kll7lpTyo8FLd+9MeG3rW064r1kd1g/ArhsShemF
59SAhTj0cfbS6nk0ywelQQXFZoh1d9i6hkyvE3LLexY2i1F849s1qSmSsgOMt5pFxdSEjFZ4b+kZ
z14ZneOegX5p1DRgYpC03ZPDksAwn2OPz4jgKMFifBT9HK8nwMqgug1DVruoMpqNVkclYe0ZaR0g
fg7LIPJNX+Ylj7fVBUvNpDzGMeJWBqFaPlsWsAi3vMobOg8wDdIY1NA4/rBTxVYZErRyNOH+3dW6
QcJmLa7U9bti0u2TwhwdLHqHcBDA2c6ZW9QG4zwzq5ZiicLK67gDRdXqZ82uFyfs+xEVB57BTZqp
4QCrGM5wtrh7a/an02gpJsBsKLesLEeqklK1R4fi58DMrrwuRiXQo9aOvXWyim2x3z+ohAczB9eF
S/3Z0DgGCi//hgJChJmDob1Os/5JG83iTNCCG/QVaup0to1HtMicWh4TpZUP1msFA3cOGD/hnJ5i
L5AmPa0c83vGiC++6ApwwDzYWm1BzY2vDpP0dVkbWRDhpQ0yjOEkOvQFGWzKYfidY1fWsnp6gqGQ
hLpc/D3pQmptFg7bCjMzr06DGpnjCQ2x6Ow9265y7bDTR3YMN/PO9nN9DTqaOSyTkC8Wfv5Xt7Sz
MMkJWQOynBzccXCfKOPHYzM5xcwh1XOmAATgrEztSPvU1VxjNM1jddFznt60iqn/JGcjwULejnJI
7IDpZafJwHm6jvt4vjEyxwA6ahlMvR0HjJLacwnCbouiixj6zvyAeYHxKE7hlkWlYvbYDmv2WmQm
WVyUh6lIgHsqND4MrQuutmnhxSW22fc/03S5wW0tSTmTzsMMFVMjzchO+kuGcPWb1PFZSBDeW0RK
+lr3Gmx6wh1RqHrla1t73n0yxM2Chr8aXjN2/KY9MvLP5+piyDENb1TUJyrs4ke/iOHNxab66KLO
ekBEH68XZhSbgkXpnVQD9gdd9EjMco31tWcWHLpJOj6mwmIXmfTWh9VzS1tWO51ms63uPKPpd7Nm
G5e+t/NgHtqRp2paHmOjdDw2yUZ6HkiAOukgFE+9TeusJ3YWQMXNmc55HJlFfCH2NtulFLDsQ0fX
W+XSc4OYMz+0ssEkPRiO8UEvmmRT5llJi1xEzwmT3mQFOrN/pwDGH6g0mZ5M6FC7nvxbQn+M+Ws5
jHmgrEY9WdIy2YVBAVkVRTrE9Db9M+se86RYap9goN4cjo6ecb+1ydV2RuMRpYKJEZBIaZqqgRhm
koW/NG3T31sETdwnfX1TC99Oe97o80eSs12wkpvafUTasWa7wqTQFCrIuCsPdjc8DOPSZ5eYrRSe
IL11fKKRFwcRu/66aHFR7dicdukXnNJRNQRD7Yy8iXLSnwnoutXYFVuiNf1ZGyJ+n0sMK7P65g3S
WUf5UtEMpRzBILINiUh4ws+bLON20sunaZ7bbZpP8ZqbNNrzVRbhWFXFg9UsQ2hX7mGMtSZsSToJ
/lMf/4/qY0pUuv//d318/F4N42e+/KlG/v2H/qiRPYRL6PDYS95K2pum9Y8q2fN/symdGUO4PgsJ
CJp/r5It/zcDbRSpBjqC7RvP4+9VMhMISnDmBvDrfk/Q/XeqZOMf7G5MxABZ2XhW8Qr/g3XfwuAB
UQe5oDR4PgNEW+7DZMSKHhDtZtpSnUj9a6ZN875p2cqtstrzr7KWww6TsNxajKC3OosZ/fc77k/1
/K/1u23+pX7H7scluc3UzJuaG+v1n+v3ubcXO8cSuHclC4cLslL94imHWQhDBBu+9Fg/pgZE4XUK
Z3mILX+lNZK9Ea/36BsR4cZDjxax7dZg90v3C/LI+Lwk7QR+h8b1jeDfwSHHSDZqw6tD88IC3r5+
gWKLf4dVI7yr3ZRHKoQ8Xw1JCBUaKjMHnpt3z8kiYx50DexU4NtFe/WivgCS6LKhBd5T+QevGw2I
+Uu2nrHNMP1IupENr2fdK8MZn/26KfAStdgfmHAUJAligf1aLqV+FRH0BMoMtgpBmtQUjh77C2Mj
IzMpDuzfC1IC5VIUq2y0GN/jD+NQmDZVF73MUaxtu1R1hzbOjO04Wv1nqifdxS/tOYSBeWRmfWjY
TT+5FYEThj8TR9uPA4uwRB5mDU9DSnYfJ6yfOedWWMupipONlrLTXsFlr6+a8N90K8OtlaJECFVe
JK8EAzTuSh/t6U4DtvqgxtyfAxca2npK5XyKXfWoj3Fx6ZYxRYDjV2xiJsLkNl6uCfbbLAX9JsFL
iS5QMbnSU+dKIGhzRVFtBWXklfc2CZ4IFazOyO94CffWcxZ3aLMMLb0o1a4py8xN6xfT06LriG+h
S+5np7G3zLqrTeMSzhAYnTMGPQX3WlWusUPp26xZJ2gr4ljZxKN521M1E+EIv/aBq94eEe90G+Bb
+iEmEffgQ4M7JIZexGFU6cVrMxj9U33L820nw0W+NGo0B32qzhbhwycL5+I3MqmcjQD8sy5b/vad
KYegWGS3NtN6QBmWSLFR7cRSqcmb5CPntocr0s2E1AD0V0xFrrrLVJmptjzaUz+uC5H6W9FiFWPv
X7EcQyijqsG6JsTOIWZWJpGfacIt3ZVutCEWswdR0Qpwz/whN5EKsybPH9es5IwPMwYlUZLd+d1E
u3wHtkeE3jx3O9EIOQXQXp03JlWK1Ho3MfamdDJiqydrScBekGW7ZUJlsnkBNEzKYlu6+CP9tqBl
sfwlxKEZ3wjUkfZkzz3+fCxEwx6EswHJwa7t9cx13EsWUJBijCI5xVR0R4hAXD2BgCUQ8ta5SVRZ
i2nj6PIi8Qmxf2LtV0wdO5GmOvkF+0nWVy1ENDuLNlbtoy/x0tvTha1WrGLmcRLed2EhrBn86cGt
9NTeunnt7POhe/aTSX11ifXE0NWLPRw7pGwOco+wMRDqcBJObzKhtVw1noO4rSRDwwjztMv9gKnV
tLA07dz3KnL9MbTbDuFazc5angGDi/1sUJusUG657L4lqMXTUtOKrPxFyn0dO7UdUlbRmWc0aheb
BrVbyTQ2L1CPpgenk/jG6HwlI9uqLy5YgVndm3CH6LxlrVFFGo0MGyr0s8NxcCwTtmerMSrKFwaF
7TUdraFez4Vp3UXt1J7IjsN/6FqtfkmBuz7hTdSK0BhTEeo1/7/DPYqewFiSg1Q2kgMzSe5TE5t9
UxrVE9J0g9JuLMOymagxQfD6K7vP888sHnA4p4K0GoATnXPfgyrTXhuLHiOY29a/mhjD0rWrowRi
iQwGZyP00v9Owkh7WEpjekOwUwRyMeTVGGS7o9APleZorDvHOtkRdCp1toeJOCa+zDbuJLtH26ph
7EeGkzwYtml+qWWZXt1lLo1d3/XxPSubpllJwl1Bg7tJ/14vOqpBgX3a3nZLVqwjZ8w/ktZvDRQY
s7wbUMGw5EZuRtSYRWQ4A6IhuWjzoOWo1Xs+DtWV/MH57l8Jfp02rYsyxCGtiX7K19UJhrUFr93K
9l1uzut2sts1Z8O8z9w8epW5NPgHNx3nPA95Tl7datFrerZRoVJCXWLSfNmte4Ld41PpLmZy4xsa
yJrgKkZ7SZV+HIBO/fzadpqXHGGsQ5saLf6S0nDXfeJ8ZpY+hZMn8AjiXnhJjaHZZwzT72FwGnxq
+Wli1uVGtHPrMmvNKYs4+pVdnOLFiz7nvt6T5FligNBILzBKLCw6elso99l5IatmKxis8wNqNi8V
D7pYTak3nZE56QHyWTMsk8VcjR3/SD1dewfS2D50CNGOwm5FEfRNUr1BpZOf0ir6I6pqN+zKet7e
6pKvhZbXn9ylthWIxU05OjJXeusliZJTjzouWfE67Y6W1879CuQp0Q5Gr1yxBhOziHAqO1AwC452
9s8kFL44UEGrdeu0+VcxuDENqs+ul7YUKjlyPW2BlloMJbrGxJ3YNZFOscVlTCgiy/PuDVF2/sKg
k68LtY/ISL7VRX5ddOcxB7e+zbISKZAlOlcFVZ9Yd306OeyPKbwuUV6JPSVW/b7U0bAZRq0M60Hn
+0Ihhm1CA8b+btltyZ+Zym+mAamLsRCZEW7SlXde2xunnuOMp6hfFC07iqQVdZfZrAoPgQG+ZzP/
YBz71muGE9qLQVzZRKTPIfNY+DIS8jQGQ8scJcFYEOux1uq2vKIkHs51li0PAn7J41xIrK8OiLx4
1RWmthn7/hr7Ey9r9r53iFKTcK55xE4p81+biIa+79EUpfBl7FKw80ZKGBIU435O2dx+9fy2oYtR
mn9wRY+0ECQgkusyqwE+G2oQBIR3au+Rrka4Qz06p4GoabGCmDWi09WUywIsy+SpNQDfrCbOkSzo
KmRgAeVJ9wV+/6I9SEuUYjvy0sceX4Ph07kHIuInCucgs443gUBK2+6Q8Yo5nKeIvOPBFdRfdWF5
j/NsiBATK0pqwSzw6HU5By0mTfRWtVNkd12y5DMGL7c8Z5U3v3Sm314Na3Lf28jL0PnFbJtyJLSf
gtjYg1e7bbVt+45xrhaTEr1KDOCrqIaScZuWjXFPkElSHrwGoWZMVMUPojVEGhR6rO8bLyv0oKol
wdzW6OjhPLaJNRwdbzEZW/6nrfsftXU+/r5/1tbdfaTV9z/1dL//xB89ncMa2HJQY1imfUNX+rRV
f/Mw4nrxdECMNi6XG6b1702dcH8TNugsz2Uf4f00Kv599WHBN7mtpV0d2yqdn/vvNHV8xK8qBBAm
2CRx0dAn3pq6v8KqFjyUFvpjtasjDri1vdwxevjlavw3Uo9//AgWDTa0PdaeSFt+tpW/KD2iaSw0
2NFqJyNrlWNWQ7Sy8hwu6d9b6f+PT7n9Fr98CrPUebYTPgXKca+91/P3wf5XbeY/XKs//0VuC/pf
PsJNCZKrJR8xqgdXf1jSsFVf//nfwqBn/+uneJR6ghMYRJoAOH7rwn/5lB6qZBYTA7Wztar7rF1H
n9apDm7CnfhoO8qLK0tlWAcFodlWr4+bubeId81mY0v6wrRNm657MRNlGSiy+izsBvfBtBHqhtSE
6HM7J93UEaZ0C+T2xpBR9MirYSQ1C/f+E8EFM8eomx17R7qBVzfvpdeEmef166I25G7MulvFnugr
jf4mzDU3ucPdsazydiTbKO3qo9ON2T7RC/eo04S/aSUz9lVCGje0D805UuTTYOhav040Wx6HuBzn
VT4PRUgnOJ5Gv1TP4P2LkKgHZHRu++mYpXuI0hLdntZiBnQVq2OzPxETMjzP1SIeJkQMW210i3WN
Q2kvSgaxxWiIDRJ2XgtzY9x5el6u0fDOuLVmebXcgT8k94aTqwCc1cozF8q+3rgjNIznIcOcEddj
8kBw/PRJwsvyIJWFttOJZhaB4Cq2Wqq+T5UTvSbN2GUhQnT17EzIN8JJGd+7bob7a/di+KG1YgZo
mYFtxEqEZ2R2BvEg6fdQa3KBbcFaYbHNYVUO8DCcBf5jSabYiYUY9v/0phqOmNmxr0KeyAxhcHkx
Z9o5i8X3oedlPS3D+C1T87NQ5nefHeDbTAZPIEYtfR1ydjn6wkqG0LTW2FaT+K6GuvNXCTbZXdbS
AGdFw5dgR2p4GcGcrsqZ3yOb3fxQ+nb/kmqLG6BkdI8ls4m7ppyitYUIeDvyombYjSI2riwZ+l3T
obr19C1dnmJf5jhx4CMeheq96FkAJjw+2Pj8d8w1+ABTgTVos2E7lR4JjXYmH/NajY8Dg9tAIYPk
xiAL8oEYMTpE8n0PJAELusJ6XEvfFxfP53LiEDIiuCqNGZqcnecBqFu2B81bbpoCGQJpSakRBSOJ
bFe6xPhhAWH7mFUQkleoH+2LWRAAn5A/sjVEF32N2DiyljS16GxOfh0FOYar8dYCjDhsInFZEpTH
C6SggD2uOCxN155azTWuRqnk3vEb5z6CQbilYrXuXaOMT5Ow0Vu26mGgpaAus6W+G5PWMfdtN1DH
jzOTd3Q20VeQk+ximqkeVpY2att6SbwfIsu9H1p8Q59r/XTs2KV/TUBnreOxFcYKDJa+1vrBB8Ls
365HxKYDovT8rcD0TXilnEFTxY2+M3pj2ZWAyk9FHIsnnSy9NTEDjI8tZvpbz626rU2//OqZkaRD
tZMHnQCanWQE74RinJF5Yqkg8RaOw6eRs2ZskXGfR2vG6Y+97a4aY/9CD2s9Ff6AWYo+X1vPrWEf
JzNe7i0JOYZezrvPyNElHtaeHjqCCu/nLBnOM/6WkzG7yx2LP/uYN/ikjdaWAUNr57GhuwoHtahd
O2kesBQdD/mqZbNLALEZDQ8dyLdqpXQMz6sKBkCYsudkFDbpIAWdoVwlRZ08tiiIvtnK6XeG5BDC
RNZvuTXscIZ8smmWpifKiaSSkCjyPuStQo+gi/ZYTA6tXFK3yZMC3Bqv8CvwZ9pR4oSZjwDKdCt1
4LeNn0yjVoclX9ojY8IlKOwobYPMqdCu2mXm7wEY4IVgVhK6Ivb3NyItmMS5Zr5/G8klecrq0kE7
HHiAfDZUCbBulq7ba51e8NdovWVDZaqt3eiWr26iQg5kNHAdZvT2gLe8+Z5s0fYra4yBY0zmDwXL
F0wA2CYHToF3lKkKq4Lr7ga65O8opnDZx559BKRTbYkqK3CVa1nz0ee18ZXJTb8w5UujH70/Fi9L
P08XZtL54ee/blaOzc5dIOGf49KkJ3Sny6Sy+dITtbsGclYva+5hCFYLKTLglRHY//zIFE0+uqMe
4Mm4mD7Aj2LQv+b50H/BIduHkqQy1rOdpa1TRix3VUNRb/axeRXVHL1lIqlfZFqW28GHR23bKlqn
ytAZ+952d63uB/o85genHj8YlA97Dz5tznQAGTxoLX1Hj5lzeHby7A86l69K2L11hp/eOTmtvaEh
ngbAXc+7mrwtExObYe3pSdkd6Z4sD6gE5pxtozOMobghl0BA8Avrs6N2yOydR4Mx1uvQSwUICdHc
qikhENnEi27diWiblWpGPpZFTXSYFcAToxuBr7mt9tSkzgRifOar9+AwnGrXwt5aWMk3Hz7KIS8y
dA6dYx8jtu8QpFCbM5Kjz8Uw7G2pRrs98UX5CxRqf1tVrfOI/V9b26LzA4/edhtjJw5IblW73mdm
pGXufD85CJRJKPaD2u9pRiLWXla3iA+jbIt11XCD02iSUc8dHbi6YOkp9Op7xjt8b/Z6/0R4nHrh
RorvnUSLL0M2+o9VVsrAEb2Pc6apMOZbzutAQQq6HVMRXpsqXoIeH8jWJCzsfhhyhXJAl98lkJvn
kuw0ZodDZoQ3Gtfv31M+zHj7dX7ZGYrBRheNcbZRnT3F7MXuGZAsB5yICNXsOX0jM9d78An+22hM
nb9YI/hb2HXiS2Y3y5k3lbNJ2kT7L/bOZElSJNu2v3LlzSkBlHbwJtbi5n0f4RPEo6MHVXr4+ruI
ylsZYW7l/uK+aQ0qRSolIzDDFOXoOXuvvZnwK200acWBG4bV5Rxp9V2FmG5Lsm6x1TIxXv28660N
n7VqPO/azPSdXpaEOdRNeo4ty1ipCmFd2dHCqliIu9GukNKruNyWJPedFVNLUL0qcDbVusVDTGTW
oSPH8jr0jOjMoAWSrX+u5dmDPudrFvwMzhvns5eMV25DwmYBe3i9yCEUuIMyu4ZmVJw50+h88kPa
lm2oWwA4E16GnI75+Wc1X2ZNNV8adG/oP/oCm8mUxWyBhnEXa8mXOpvGKzaF6czE1npNYuKMh8Du
8Oo2cnrSOcXb+NKQnMyMM3eukfkXObKQVZe5KYCLmLO/MLOD1RXk/A0zkwJ30LZhLcdr5Ta8ut2Y
CRF5xhqIwJlU7I2JNTxZEZXlb3k39Wf+TyR+aDUwYlt8L+uSqM2HrhrLXceGQw0EcvScQVh7rehn
rOsO9BWpJvPlNBjyoEJnASEbuF6wamkPja6j76AvR8VsoarKe7YNPWp4NJHDQ11pEkQEXo+1hKZD
uW+NMn/SO5ZTIWfKaj8xvpCYMF1aBQMTaxj0LxMsabguSQUazYL0Fjc8mAktRMy+w3xbZ657cAZr
2nrtVCNSwTVDC6WXBGj7Dj2Ctgc6viobMd/qzsgzrwly59Yh/+fBwodInBXN/Yuu1VBT8J/epIK+
DiFbKgwaI7X2iS7mMxo0WIpRvC/f6NqNRygmvh1fGXNiNusuKe7NMau3FfGj25nYkT0h0Zj+hT2Z
LxPRf9gIS3XPbBz3QZZo51HY33TMvFYYZ2J6QNp3T6GMNazyk+hygzTgKbzga2SbXCfwcmVHTb3z
vHrYQlM092GYEAVAXXKOdaLuUErp7pYKMT7IGbtlG083pkwqoHFOQRqa9rWZ7evRbMTOHIdiqdvU
Gf0zk4TW5GGo4nlde1oUsFvhAQQbYujY16KQOYWfeZ+0EuEOutqKdnujwg0xeYjxBEGWutdqZ6Ut
Lfgeku9Lr5bU0M7ELIV64pJcq0tZxtE6I0B06yTwKtH69h3K2jR+ibreDjJEyDPedOw0GGOre2k5
JpltkY6woDDj8zh15A2EHvlJiwjH461e0D2T3VfZu869a9R0i3IPuknXTzNWRz/bW9C6A3IZmaVh
sbBuLK+eb1IctvcSQcm2LzoXR/tYA1GbHWeLEAB5YI3DMcfWsCPbgiM5scsHZnMTAe6t+uLXc3GO
20MEDNJsvyaUNxIDelviLbLzpvxCeW98Hp3SuzT8rtXXtYk1vFcpymqz6oabcCZIoiVoaJ9qcbNr
PRIIzAKz8yqjMU0fr+ZX3NCf/GLFlhrWPZqxa8to09sSltyuS6b6s1NTXzFJi82ryfNb6Dixe8Bh
Uz6Hk6uTu4jC8Ulf3pCOAZxej704GMmBO48Tz7qMi6Z9ZvpEtnWrhgN6yv4cr2X2tbXSEKWbwY9b
EdF9Q6xr8a1oUOfhrbdeIQ1UtJ6ZHB4MdMEXdRvj1dE4YK+mvrQ46zaIkyei8h5F6RbbLLSNbJXQ
972qtOl71rveJ7Nyyy0WRG8NFX1eWBTpOu0Lcq3tmHDaOsYJu+q0EVn9VLOTpXkapLLPVxJQGj8v
b9vDxKliU8ViRq5NHl4j5w2t1gdId5/GEgl+xC6/onHjYUqaOBQb8rkWqSByFjTmSrdcxciHynhf
+U7xUGVFddHOuQkANaSU2kYFwb10sDPpdTiyGoiTAcclR/s+tZiOGALbZwYczKdWw2HJudPbc4oh
CVlLwsdcaO0FL8X8hlIxfR0NUT2mKlOfZCdHdy81Or2rJITNzBTOxuuUASXlMNWWtxZWnBJGdzK+
ZLVDu7gjfuPQm933aCDJqaO9cwFIswQHXc1fS6k7yL3dZuNo2dVc9czvGqHl+zZz1Xrgp7rIeola
h5Zue2WZXnSVUgzBpc1TYqo9W13WEVDTpkYCxvP/bQmiJikD4dAKgxIaqrDFFFs13U2GJmFjRXn8
NNaN4MWFtN4oi/C2kcTXCU2+WGkzvFjTeD93ZmPtXIeuMlHPxj5VkCdbqQnoQ11+j9mDcX4cq/rO
1nMwAKHTALjodCb6PWZaVjyTkcrax1gYLszMwWKIUQ3leuFzNk3N6Asqg2aFxb9igKAxjo5G94Gj
Du+TyC9eFj/dRkb+szViSdYlbjf+FnOjRtXeW4n1zc29+rqv2ulLNIcgLDKmW9y3Kb30/XnYg5Xg
jiHv2jOOx22p+dwUEbrPoFeth6QHapF2CQ9s7TPMKKmpptjxd7Zm71sRmzecQZ7YkLPrUc7OQSkY
qe3QOluZl+Fr5WfzOq8HLwBKmF45Y8gs2IaBsDIx0gUoKMhi74fyrmSGTIWr3RZFQYK0NxW3YaI5
N67SIzQBjnkFBUH8MCDcr6t0kFsSRLG8oUO9Lu0xvsjtDOaNTH0YCNOM1PhzCgMhjLNmX7DdbntY
GthRRv02DDsHASXa/qrNqv3EVOe+ZcdFOsnYyPd7fV/n3QMJDeQdu7pzEOTR7QlMeYn90g1SzODr
gULwwEaqBbj6+gtKOfcwWMiOm0hl1L+AeLsW0tomb+UXoVL5ufHaTnEEUHH2pYK7q58bsgvPSXtM
N3RLBhZbYz50pkZQA7Y0279K8ho7Z1UqrKWiBnOwU+U4czSLa/+qnOr8oSTZc1XYk7+PkwbTCy2s
B8dsvoNg6xgwUKrUStQHfR6+ku9cHOzcLMBW2BySVD8hXMtSAMa+sYiOA435+IHn30bp6DwVEbWx
RbZSQFWYk+HtfW3MpNug9Fg4N7xfp2EIutF5dTmCjOl8Ydf6LTWUQ+eMNpHWecZXy8+Hc2thkTpK
0EjJEA5HoRH0vhb+iB1h3+ASMm+b0f+hRkt7inj0Hgl4AO1FsCLAGb8eww3qbXcFW4vMbn/sECSA
6MEM1K+8kg7A+43Qt11QwhwwxQHq90mqdI96rQ7jZ/x9Xh0MFv27XqMZl8iKNan2nMeL/ftXe9Oi
xoAKd88Quofuioy733uuLnwh6iSXOOEqshmc8o+kcMdtHsl88+eXIqQCMrltIk85VirpDTxsczT4
YrEXPYypxSsj7Y1LHUTcP9nz/1YWdYStsrzFVmsCT0c3RgKnf3QP8TGTPy64VEmQwEUGZRw/9BJh
zOJdqWgs9kggpz9tknNR0xCGoA+HTuv4onYSYgOr8HBNGXcRdy9v6ZqWHWdS64Pv90b0tVwKqBQu
JAiQWNJ+/9UyNv9ZSq0OiikGH5GHuGA1ctHPMpOOZk7740ZOBh3EfI4vuxwF/fs/5bIq/g76AFe6
XF+QNuJjQmFGc7RqoLTKWM+iJvAK8jkouhYD1fD4/kXesFi5iDBZmNhlmRW55u9fcjR4XbS+WQdt
S+vWHWKqiMgV4VVuwnScJ4TlfYdsmVShevf+pU+tH2FCygSOSuDCMgX7dRJBUu1oRKaolybJtJXC
RkSbLo1gV9NztRIRFdgUt+H2/cueevSFhZJvGU4xGRa/X1Y0MPUXSF/gqjQ/AA17RGo9B5HDqvVd
1u/7lzv17Av2GJ3MGsszjpOoopoUMNyDXK5p7Qdlqj2HfzQY5It/sMsYyw07XjCIMU2LEzgbjX58
Q+f5r9+SpI/ha/NzbU5h9w0NOCROuMeXtJT1vePN+mscLs0kuFD/i0ULV9ohvlAQXPDmoXFFC/lW
rwNBdMytjUzmUkZssX9+U/kJl/GVzuDzOGLLGkOrswq2np+7QJ8u+Bt/GnFxQEZ//1KnnkJLh79q
EV3GiHH5fX+Zl2VjVyJvHNhQgeFtzKF6cbzq5f/vGkc7aQLR0+FFXQeG2V7OIJIsr7h9/xInFwfr
D10gS9F23ywOP/WG2mzrgLRxFkKnmwcTC+967ofkU0wM+laVvb5IyRFvCab/oGE/2tHePnpwDonH
8Hj+fFoXRzuaZUvMaRU828jAXtEiOFx46+oi11J1Bj6w3Lz/pd/+dlyPjA889rZpuMfPnuJY5U1S
qKAgGvzccqZbNIPuB6XE2wdcMENHM01r1xS4435fIH5ktNBkchVgAkDPKYFbVbKHgsMs4/2vc+JK
fAmYBuhfbIEt8ehKTZLM0+RVAVsbMQZacy4m90HW6dP71znxMxmuhRqb34qd6yev8pclDwMrE37t
VsGc6OBcXzWystOsXCcq/CCu7a2w2kPF/culjt6x9KgcEoq4VNf7NO5LK1oVg9u2q9Hv4Uf15fw4
4dnZo2gP642y6O7rWLY/OxxZt0QZtNuU6e/ebGijFcBQCgZHc3awvVQiTh6haQ7xfBmSo3kHqA2Y
b8S0iHNVu81NeMoHt8/Hq6Hq6GCTRp+TroYqcnCS+YMvihn/eG/mDc5cDxm9bWAGPdqbsSBpwidp
IZibuH32ySW5gnZzB30jeS3mDrtEDhakzsPP9ZhFOzeb6JmMMDEdrFs2k1lDyWxtdo8FALN160Ck
q4o7OXiXc0hjqagytSUdmX5jgpsxrFOB7HYAOVz3mNO0VOvWo1VZAbPtYdO2HgEgJDJtaOG5F5mF
liEF4LUe2a83fjSsZzcaNxZvH5+7ZaIMA6ykf3HRan3w0jqx1gh4NVBw8M6i5F+KhF/WWlj0iupj
4r6kmPN6GNln/OpjQGoyqtcxFEPw/uJ+W/BA0CNBzsbsgOb3uOBRFTEI4M+AbnotYtikKrYKzdQF
SKt2H3pg7WJarw+ImqM/CsBc6jlBNacvJgqoT2/OHHU09VrcOWVAm2v61OPSeVHMex5sw0m///GX
RODBbkSvg/8dl47MRTlvTh2Jqj0ZGgmGCqCjixVOS8v6zGmyxFs3DNiBApg07d+/+IltiroKtzM5
Sdxk82ipwxnraDuVZdBArturoXyIxgipRzrVf1wGgEbneXJRGOHWXlwrvy4eekBNhDswD4iGeZ6m
ctiYHomKdS7EHy9Tyg0EUwijOH28IbHLBXMYkYuJrqAbNjg/AkSS18NgOzsaT9/+9AZauuCLmYut
BjnH0RslSnJZWoTjBchqRKDJqayYITLTaXKRNR/cw7cPIBejtKE0sBloH7++FNqQ2OkKvplmPcRC
e1az9y0dxUM0OB/UIMuz/Ht9yqU4ljp8NfZ8++h7FTj/4LAhxFgA44JeqV/ZpEfm/YygvD/Qpvyo
Gj19RZ9SFCQGD93x6wVbuFctV1RGf8h8+VpNxoNYcJRQjnIsJObFn/90FN4LSIVMVqa9v69Iu+Hc
0YZuFmhdd4D6FlhWhvVa/+AybwsbC7wPR0PiC6k+jhsKBCuPScJfHeB+14CLoueVI2/E97/M262S
qxg6xYZn4jc95lKPGimMaWpkQS3oaNHpWedp98MtndtUtQzUvXktpuqDXXKh6LxZJcvG4do2RL03
HBrcrq3PsS8LfBsN9EDkKO86mc2Xo8+U/mdyTjNhU8IlbGXEjs7gGku8HPt2VNFZzhx5hwn8YZ5s
ded3WbaJpKQ4WMoCCG72ObI459E3ByeI2sb+4NOf/GEWmgTDQIIXj38YJAlxzmQjD+hOl9t08tOD
NtLnfP+HebvD8sMstB6CCk33TclZWIrXCMlhQdm6CIerPtAz48Fz24+qllM/BYF2qCodB1LG0U5u
kwlEMFPJRjRKgsq1MMbEpI+797/NqR3IoQQgSo9DOffu92dmTnVzjDotQzzUYDVzeU2NNhFaTZN/
6VPEyO9f7tTN4ystUCwMlQA+fr+c1yYkOcY8olMWflvuXZ04t0UdPr9/mVMPz+IXXNKZORgc45TG
BhTEXPHw5Int3WSTwYgttL8xbKl2dWR7X4dcpvDDneaDV9WpPQ8hqUVdTafszaGH1qmOYbfPggjP
Tltqr3Ma7SQZuel8z4P4wdVOLXiOPYQdQj0hGenobuZ8R9eRTRYQypHtC8fGs2mm2ub9m2mcWiPc
REIZLQPa1fGB3+/MsbNpuQdeN+hPSaxXOxgT6NFSsQTYNu7wmC6htF3V9tdqKrMrO3fFPvbQdM6T
dBgs47o2FIjZfPDQY3Rd+tHp1jh5511O2DyZAn/t0eNSQ++0BwLGA5rcjAla9Wq0C3tUeM1Z4nrP
MC8koPqYIUYpkqds6Juz0K9eYhQdcDxIQB3A8tJF8mGbalD0Yr7H+zfyxH1kpk0J6rpES1If/r74
c5fPkIyU20M5f5OzQRSsREwZEkJYTa/vX+vE7SComAfbXhq1VN2/X8s0sD5CgKK0D41vOg2HTUHy
dzPhSnf9cvHFO+0HFcaJh84wmNhR0fDGelNi93U+jXVU8fVS+1OcRNraRLXDHKOeV8Kc1KOqB7VB
jdEHf/5dDYMuJh0pCsTjndKC75DUXlMFnNWuFAwTutL5Ld14kD1Z9DR5dvTndRsXXNoAeJN9trKj
u+swbWwsMiA1PVJrLGqoEkrR3g7KL4LC4SD9/jc8sW1yPWoowYuNYnFZWb8c1IqwtuIE1Hgw9hGT
C6seNrqq1EagiP3fXIrILOE5FIze8UtUulbSFiVHNIOgyxu8iNA63dY5TzrD+GD7OrVGBQ/U4kNY
Ov1Ha7RHElfOdAaCpugeurj6btvwKBt+vyRSt2Sitn/+9mGD0E3TxuFOhXj0sxkjszazmctgBqG+
0t3hrgaHLOkDfHChExszLXXdFoLOMzaO5ff85feS84ACLOQISH7AczSOe29WDx8sCcHfcVTQ/3aN
ozUBFjRLLRIRAgT9xgpjE0EIdmPfmZ1DGF4+EAcR6aBEh1puGieNHquhxv5lM6vtcDbR/OtQQ5ZE
HVUW8AlNGAbBQ1MeJKKtD4BT4lvTh9NUTn34OZTESRJqzVg686Y1MtjwLLY9hhT6ON7YRo1WF7OX
cTf7BWKr0miyXVU0hH/3MP44QI3RNX4mqsMqgWCFXfY6Ht14DyNwOsttJJq9iIvLHgJ34GX+Q1Jl
zZo7nO0KekX1KkYoGCBOhKk3zHIbdrGNWDgbLiA+E6eYAOR+//aeWpu8xV2DdSKYUxytTUc1MEIc
1iYy4Vc1tq/Q468toe1EUW1DDRPv+9c79YRTc1Ps0b5nIHR0PTsmUlYA4g9wtC49p6vBzM6Gtvyg
eH07VrPolTLYojahTecfXcYasxg6pA9FSc9upUxqNIPeV5U9MoS+RJCy7mzzJarLD45Mxww22i/L
denSckc5XB8XZL4sFA5hm55INc2fYlBKK6+2tFuMLnq+RTPDGUfZRbhts15tSKY3GG6XbOQK3rqN
yt9OB+1M6J22M1qrXIcIQ1lwcs+8kwm2n36xDXy6AymT68ydow0sZYfeiztvIiO8NzOrWXuzDUep
Ta1s1UIk26Z8nk2by+94PowboGx4PMdB7XB08e+L2V7HTZtuXc01n5SwP/opTv3iDvAW0ptpM4gF
QfrrHpHojV2UGUArvX2dGEeupkHfZwZBYO+vrFN70S/XOS6MetnDKvOHMvDsxVBIv2EN8WL7/kVO
lTaOcDmtmszbHG/5EL9seLoyZaWsugwYOnnryS5XHMafqwxjetxMH5jOTl6MfiVnFiCsb8pep2Yz
Kok0RX/nwNio5n1vyR0KULTUbfLB7Tu1ERBCRQdjsey9KX7zaRJOiooqIEz+1mxcZ026wHOV19/b
BM1C7HxwJ41T62KZeXOARULgHs9p5kbm3F/qtHTMY1xepnHw5no4M+nFbyqhxdAYVLsepS/uEj0k
biTC1BBVCfymyCN2r7KmRxdLEPaMMLLmD+7HyY/Hhkgbif7tm/zQYQwbov4ocwYlvws/eorN/j4X
6EjeX1Enr0Pc65IR7yyWud9XVAPrOpbo8QJOopJuTvtaTtqwqbr6gxfpqbKV5hSiDX35h3v0HIrB
x8GB9jJo8YzEDRLXobytKxu/tHENVPeB/OMPGhWnFvAvlzwuWNPZytHo6UUATmcPzeC7b+WI251D
XX1Eohan1i8nUoZklI+chY/ORe3i+Z9Ht2CbMaeXNpY/hsQHm5eTo0D7Nlprkmztgh15m6jFa6AZ
izKzRvTn980z8Nf4OVReE3QmjgVcbfiM4ra+B81Ybbwyz2GyNN5udAfvybPZNaFUNgimtGaECLO0
Nivzhz6QFORWBCdL/SUlGwApjtxigv+eeP2wKiaRbLtiMu8lomte9qb9wWo6dRf8xalLi4N1ezyA
zQkfAKgoqfzkfDa3MyHtuvVsS/ucninkzGn44IKnfuLFmYVQxqXZenzbJUFqk6IYChLlA3yTHRn1
sBjByUchuXDNokl//4H5qZ04KghRzJCkZ/K4cMw8+qUjbSLOxcuLwClmfx0PnXNvxUS9l2Kyz+Mq
z5+kWXjQ5lBO/rQLeHGbPxUdOZwtkr69NsDq/OA2nLjvFBuLBdrHGPjmyOs7kwfnTuRBRrDoNq4n
h3QgysYprZrntDZm6FHxlw9uxIkmJqoEuj7Lrg3w1fx964hGe5ZhzxPdzCFSVkFoCoJUsWvCutlD
5xIrVgrKSTvf+oCDiGFqMpwXlrF5/4OIE3vY4gtHjgEZl0Hb0QfRkUY4RZsU+JZTwWhk8TUkIp9v
0VaX9jl3xj1rU9TIWKxIGMlpIhtawRwVbnV/M4hB301TqH+KLQpvs531T5TFJTELLCkcUyAvR5+c
sC7+Dph5xZbdby0njbdoha1NrZVtEDvK3Y5x52686NysMnFPlOF4zWOLCY086vk59jr/kOvuZ32J
BHr/Bpz6/kzA8KC7y4T+uHFEu40kplbw/fNsvI+RpQWjMybPiaHFuz+/FMJrtAa40XltHBUgDJ2U
AnZTBD6c741U3uLmI1f6QK579Pz+tX7+bsdP2tL9FZxeeQ0eH/9Lzcm7oUg4HPQ28dLQmSbMXjNJ
ecTR9JvSzY1zo9LDm3YkaMA0tejWbDV/bYlc7mWp1/+s6v+TA/ABtdpEisgz9S+UwJscgKvvw39d
fh+Tr7/lk/71x/5iOOAiIGwUUsjSOqTU0NnK/2I4wNuDxyAcnUf3n9i+f0EchMsfYqKMMYhToosM
828yn/EPRl4UwdT07jJH9P4I4rCs3F8Wm76UuAyBGNEzCECXd7StK3T1iLrK9KI2mV2/oiNYdOqW
21oQ0H2t9EG6oOefOLdXTaGdVWYs7RofuQuAckiQnGnN9K0WEZFkmi5trOpTP5+PpeN+V3XubhL0
ZPWsmGdEDl4eJJXDZN1rIIU9XGJ9Z5qy+ZZjHs5X+hRButhmi7XGv9YTDfxAX3W9ge/NaWs53QvY
c+3aGYj3/JyLIU9QQFua2WHAqEAtHRJPwyHtuXhWekTV2Mij2c6Qljs9cZrefUyoSzXg52JXMbdG
YaHvWaX4LnEfUpyTEpLyFOnPcLjauduXsveQWzc6mo7zhPS5bgu/7Sus4XrnKjnd2GZeuut5GlL+
KI3d+YXnz00uf66q/zyAHzyAS2Qu9fS/fwDvsfPE/7V5zaqWBjaMzKSdzr793//z1x/8H3w8LEvk
cQS++4T6cqDj7/zXI2j9A/0vojXgKkcIefsfP4fLKDsWgeAiDvwfgrz5D4sWCut2OYzCJfkjgjyC
3ONHkL/C1HX6rmz6i+Th94LC15uyDUOlnVuwWG95VIvtbGHWKRa2sbtIO3QwTHfoqSAfLwxkY6Eh
kx4Sb6IMQvK0sJJFw0I1VOsFWaKDUg7TtERHBF/ZXUjLGcjlSIrAyugAhAuN2QLLPIBnHkw4zXAd
vbW2sJsRrEBxbuA5I2Qime0n5BmElnkP4C1eSWmy3kVUXFmMOB5KgZ+kYbPYEHmWf9PBR09gpFM4
hWhuoGeE3e3kT+1dujCngZOBn4ZmXNwBr+4OFXFS50C9ezRhC7O6X+jVaV6CbMZMfFagM9+mC+Ua
soJPcAjk6xTGg7OJuJ1XtcMQe4VtMtz04wLMdn/Cs0GuTfQNIWrrC1tb2sq+0GsvyHPzTurYEMRC
4i5AcpfhWGzShdJNqqK5zRZyt1LEq7Y6NG8WDDGvC+FbLazvhKiUCMMgAOy2OJ8XIrhra+6B9C0S
yxdeeGe5cjea0VjiWVuA4vbCFkdBfq/sUm2GKX4CXW4+DoXtnDFF6j+XC508Blew0acldkXCL9NB
pcQJPmulxYZ+jo1ZzPfQ1TP2nmSoPO1rlo+GO8OU6rR51zkNeP+urJp5rdsIoHCYtqpdteDm75Qo
vSsfTJxG61Uh+aynXg37wmzqwHTtcU+OcAlGj8Tt67FYeOBuq7dkhGhF3K68uRGwv6LEvoAPqa9T
Y8R6qGWzRocLhv+CBbWyK21K8IpvtGIco3lfAQes68sqzRMtxieKJcm1MSr1jeuvZT+Wc3lw4RU7
9efKDO27eoaikQEQrxI6zkTGVsR43YZtVuxLcNVudC1cPFbDDoer3s2kfsi6vfObyZycx0HvGv1e
6yfHi7aMafLCX5sLEsbcIX/0xoQP4HASHi+HpJyk2kG0KLu1kevGc+XJ8RYW5kyhmpbKXBJ4U9ym
GuI4TokI5jSgZP42Qdn1hBFzMU/NLoa/1inGywymLnmbvsIJHakZrJcZ3pV5rMk1O4mSKyim8RPc
lay40tLJNNaFnPRrBLlOv8s1dwApouKKQOS2LA9TasQBTD7K7tkV0Xrwuum+DmPSwYVWk/ud5D7+
WeWIF4CE5iaPiuhaxZO6dlTibduewFknNsphzwfQL2d6f9siUjDly3wOEObIG4c0tyd/VEioXGXQ
trEIfctxGxr1mZmmtNs9B9SzdDV6+g0l5ypqR3tjaChgV7oBRrXtOW+vUhvm08roY3Mb60171/Vu
eYPULcKibWHB7O1rP4ViEeZyPJe55KittGj+/J8X4v8LUGw5d1LA/fsX4lWFefXEC/GvP/j3CxHk
MQdYA38WEt3f8ql4IfKKZIy1HHQQ6fyrJrWoVtFULC1RndcUMqi/34i8Kzn/Ua/+hRz7o7wq62dT
7O+ilMMs6iferrQnKU1RBRydbCGOycYZXXjr6BDZVXDGTW24qYg6K6bmEqeuv5WFi7e/9+xUrXh/
z581MDNkWyXAOHupXYS8zbeT0oodrZIKWNLcXJITGMS16A4ekXkbK/ed86ortXtVNhKXXqSdt4ln
rAhJdu57NojHFJdyueqqVNsbUoFWbcigdRqAJvx9xs5UKilXPnQyHKNsGXxuiH52xDs4vnRIeTlw
vANnrMJbWArXYC6BoYIYsaDzBQobKjAzLyMaxjkYFkmdXeZv4kh962zyuTqCitaIPCERinK6DOuI
pIoWUl+vU4E6CYHCDaQEVFy7SZ/nvV2pCEO9ucdnVz6DfE23DVTJzUyOZT7W16AarC0O9PYVr4DY
5W7h8XaU2DkKh+sXcDy4U9amLT0/mJoOtClBT5vCoI0iM9NfDxV5tIOUPeqqFMKyT6BpAwSoAJG0
6ugcrSwdLVHMmWcTJUSXDwudqyce6kBs/WVs+OHKEMUd0NFhi5Ju7xddIK0hY55okiDjw12wsCds
zFAHkJUaa+ZWT3bbT+u+Xb6EzNpNS6LzJp+6aF3bmrPNve5L0fgbQQLqQZZGci7rZFoLUKjV7IKT
zuXOnnEbdpmjEergugyCnMAP/UM7VfrayyBbJnhNn2gSVitGQDYJgZLcZUI4dnjQoH1j8z4zycV8
cFPaew203Y3rMslpRoP8BHCem2bULUzbNloUL9qPHewAJRxr6xvpixwlWT6adzaVIZE4tiDftKkH
aDXRPhYd8TSK7JWczT9L1QORqE/eOF+kJjDMqHesnVai1Df0Od7jan+d7fQFhZ61T+GwAV0AsKn7
qXZQpv+dRKx0w5vZ3rAmmHSPK2dgSXh1hAIkxYIfZRPvxzBfZ1G77oGEkMmW67yD7DNlpsbLZM3G
Oqub81HLvsyTNdLb8eQ2JV8ksEvC7GckeistZy0kZao2ZAZbQTxjnrfiaVzrOf8uM+pP4KSKTebi
+6RZ22MNn9Te8PgF4fdaOyfFbhaK9LE2negS93axE96XyG/0A1piBeHG0R5olxVAKRwQ0W6eJHdF
n3nATh3wPFk87UFa1g96SX4mrcHsbqZls2ma+bJp63znpdmwJZ3d2c0Z7GBqb3dLUFy0ak1Nv0k4
jW513mVbo/GAlELB3sStgKPsps6ZYUJSSCKvD0wzOmvJNztvIL9sNI69jx0A4B2JxWJjQoglncMf
NvZQqBWVV7Ju7FR/nEILbDBoVJ5cNe9oiLtrv6MhXM9ZeZ9pYroJZacfjLYZ7JVPwArzZSYeW0d6
A5HlBXF6OUxWQR7wjo/aXbigK/gPtYsSsNK+ypwrzcq+JD02ASihEK0VZULnwVN3Z+6nnBs7cMl2
WyVC/wGGla74wLhB9sC6U6e9173kDN+Tw9jHJUmutu+cMFXbQRfVNqZCWM3DguuyyLQzlf+1a/O7
BMZWaHQ3OZqJlZ4m0AIT7Tuyy2mX1/M5lMCLZOC/b7BrDA7oAlJmyp0LA2dd1ORhTWHfrKDmeivD
Sl5VFQ1U3PN9Q6RR4PYZWRoZJ3aqnnZt4OpZeOXmpi4VSypy6svJdMkyN199JSR0mnQx5Tf2PZT6
iJw5f6HwkqsEhm201Pe+IZLIncmKszFK7PXcMA7ArrMdTJ9+i/WCEPc2I6PLL7wgFvp1lZsvKPUu
4OGlZ409PnlD467cxFng6cI56/SkfMBR/pyH6GKkdL878QDeIkza9RDlD6bRnbtWW19JzzwkeClX
cLXzyyX7nFbcTR6HhOAKwldDpX7UdadvEt8KV/bcVXsEFskmtGH3K2zXF4sXbW+NtQcjgBz5PGXO
KeIXn37uw2RNQQXd5nx2UCP0CJ5AcOT9ZvS4YjnPD6q3khsQShepwUtoJGCPU53P82xE+a7uwPDo
ZLrLDP6QQyru+aSaMxyM8Kp7oVHtAcLNY14vcaGczzRUP8FF7AJ3cr9VHVCHGI7CrjPbYT+Wo7aL
4LutSWbwr9u8v9FBz6/IbVg++HApKbPXrW1KZjd3VTpXW1w3O0B6DHgcKz8zYu2580HpKG38JqAN
sRd23ZnXzzV7TVJvpzB08KWPyQFk/cDMiF0OrrANho9kHg+8+D6Zhb2L3AEaTC4F/hdp7CM3fR76
xD6bNe9hapvzJgMyTRzDD+y+7iEv83CnuThqLOkYO0zb3taA9njwJCm9FRSS1cyuuquduoJlPZHA
84UY9rJ9RLMUEnSDv0ihbRgHLQF0DYPEq4anNuwLl0cRZEKarxSrr/CuAdr4g1y5sZktD1mVFnYj
AmVW2DVQCTpm+Cg6Uqec/2bvTLbjNtIo/Sr9AvABEIFpC+TEzGRypkhtcGhKxDwPAeDp+wNVbtty
ld21r1rUsQaKzEwA8Q/3fhcY90w0T7TFK8/TG5XCj36oXHsjcMOMzl6BT61dE+a9tYciGGPtqMp/
NVjlj37rf+X1/1d5LfEv/F15fdN+j6ryj5Mm88eX/DbsNRg1EftrsLpGAYN09vdJk0korP3p2qF8
pYZmEfxbWKH9y+dibYXcOrpgGPx7YU2qCyxKJsDo5di6kdDyUzjh34UV4sD+adRk4XS18bngBhEk
IP68N8y6AVXT4CW3WMJE6gUUozzxW6IQbuDjSAmeu2GLVeV6yRkdsqWgihsTO8jCsVLTharG4LrO
1u1/n2Q9SRBuruXTF4sDKNMDQizg1BFAdSC3QFe3PVSnbzCCFFIxCGRYk9rPOGqTgI+IbDFuEHeE
ZwPSu4iblGlKaXyIqCSHzusa91fNJA57or0/Ohm4g6qKFm48J7+3MEGR30eetvBy/SbLkmpdRdrD
4DdmW5DwlNet5S9CaqgVtF/dNa67WIO7GVk5F0AvyVWyxnpPa8C3M1rDV5WS/E0FSx3blnZ8337m
gxODOt+OcEQ8AmkhvW9FzSv2Xfaa7rZr8noDaiU+NWG2i4hSCHq8Nb8mDKifOo7o9GKZkwbmp3Zu
klYn2GZOJo78HE4rbPA4hsvu4YdEz8KW+MGxgOtt+CTml3BmOqDpWCV9YOrRAx0TSjdKqTBjoxiP
V4kdxieUgNML4jyDQDc56Z8k1a3HnL0MdCMtjB3aSthMeOLrL3M7oceKmhStEvGKR60rodFolgtF
pQgX8uUz5Qw8iyWXRAoUbA05j7tlk1pd127s3JlfyaRq7Fteycrdz8Zi2nh5zMBEH8SWEF6bxXwa
fzgttV4MqOrQJXLYqUhAim8gjwxV7Nw1i5xoVNDObsy5r+6YXrbHueJMBBdq3GlkhRDQXdjHUEJd
X7lS9jdVe8aG9mm40DIudFRzVZBTEEFWM0CqECggI4gm13o56E59RJCl3JolBWx9HvJpwfO6GGPm
IDJj7HK1lMy8iA0hTQ0Skkud5Q9FJ4m7Rdmf+HGJXIeUekMKuSl4gou7oQMZA21ldB6KugT14miT
Vz/n7Qg63qo6fQMZC2Vkq5OlHtCNrIAjM+qq41qoe2e7juJvRePMkGtzB8ZoDh1HO49WEnVB6E7V
pSPv8DwSAHSyw1K9mWh/sIl2iia2LulAJlIiLWppE92aRvgYyhxKGryOugS21hszWRkK7mB/0Alj
2ZVRktwiB6fIj5sRoVTVhsBKq5AcdF/Uc9JvcGEOipyzehzPy5IMzcbUpAgqBm1ig66Ls0ovNeTV
KWug6BYEadIFLchW5xoSn7rknQVmJ3MGelbEhVxxEu5a6tTkwWhOctGog0AVhWEek3ah2+2myF31
YhLnA3MTR89R6t39MvUptMJBe9eI6+Ge0uwKQA7zS+vSV6KjiG7iot9Fw1y9TGGlw2WbBziqUJep
oMK6Lff8ZkrGKCvp/sCTaH6QjTdVV2zP+yZImPza+1yPTXXlpKG4EgwpP8AjPFmD7Z5FYnXLw5gB
3SOGCYjYVRvO08atNYOhesc4LUzNO1kq7sdQeikj6U/h64DIEEprul8m4R5TOBAZVDltms6ToaqT
Q/gdc8G6zfYumU3b3IhCLUj4rCoYtmTPm4sUdxgA9XEnhjjf2F5qnioyWLfCTTVvqyU1pZqMJ+Ox
XmSy0UVu8jlnMkp/bRsnfUv1XnsSbT6+dvpEyk9bScm9JicYVukitoVha/0VUwMZ5GIAnmXHXdSe
+AsSvwq6nNxnyVGDqoIaUcRH2RGXXASzdKyaNmvOJdUlHRjMVJugR8smy9IvEfxBSmlpFsK+UKAH
K6sY5HVV1gPU1zLMH405Es+jWr5ILmHoix2mZ5/oAfNgu8q5s63E2ER9OG96M26usAs4+rZcGMDn
mgXsoZrUdF+ygbjkhTmMftE6hXGt2gqqZk/xu3ebSrw0/fSC8hnoV4+j29gYSZiTOTnqPYF6YzoN
1wURMpdlNrp7YiAAj1ecX9EdoSthSyMk83mBZizgHJEwKIFZhcem46lxIfTG+KEe+N/+7h/2d5g0
VsfXfx5X3sfVt+//56rL38pvf6qqfnzhv6oqx/jFMNl0o/BAffRjJvl7DALKl5U4AaOIuvf3msr8
ha9gOW6vfin8In+qqQxpkYBgfZZa/0099Sns+n1Qufq+V/2JZGzB0JL550+DyqaNhrbwPJwaVDfc
M3H1QExjn2wj18Pcb1ovqhjHa8D8CduS+gXBvnalK+cCUjHPgmKJs03dyeLOG4uS/lp/tkI9Svw6
b9JdxeW4WQYNarDhsLCbNYekH4h9budc6hzoEzSo23RS7Rtg1mtb5ddCU/sQAvqmby0vGFg1wS/l
xhzb5GPQh+RCvww23akZapYVgwvNXUAYmuy39OVUefqtbcDu9Vr1tt6HvgUQlM5zXcwkHzAPs03B
k37V2l0cMe1VAr2A9OUPLyuvlTHeh+AQMQsMO2lm18O83JJ0cqI7rIM21Xwqn7e57ivWJcu71WfH
fDTWmIKXBjRslTOYaotYoAeUBxw3tq90FjBVFy4+1uKL0YuXbMzfHJ3Jqx6pe73Nrtd3oC8G+BJZ
/pHWpRZ0DCd3Ip+rjSgYLQ5razqq8RHa5b1bTnaAFw1KXe69c9p7ewN0H5y0UzaY1AUIlwJNdbwx
JA1KKzma+IgJo50e7Xi+V7V8iUV2jKb8rW3St2qxLg6Kd9uHULyVvCAlkw+oS7eSA3A3i37XeFBc
GdgcmZKBoiOSyy/JQQOpyRtlxiQK0ivCbzV1dPmZ1weDNlanvk7mbaSt72VcvA0G+kF9FTP0jGBX
GvK2lvwFrVluVaff9qbaD/FyMlxGdNqon2qn0gKMkB8CgcTWMpLrLJtOJh/OwYUd6acgUGl45+cl
7IFf9XbOTEJom6zjG42JS0auJ5dza6VH9PTPrWxCptrTY6EDOseKj8wbcCoEgLdyVB64jendrZbT
aEZJkMZtcska5yWZ9F9ZOt54KjFQbDCkNvvDYg0tFrrxcWmsA54S5rmtOER00NS6oEjYTkN2HpaT
Dbt+qxSfJ4sHcfQcroQJkjPVfSH8utOfy8h494Qi92BqS9aU8J6c8bFph0c55R8F1WCg21W/GYrp
UYRGDLO2r3dUTN52sbU4MIwkCT7fd6MEDe3Jl6op050trUttSWdHPhMBrXw2OEm4FOFOJ047H1b6
oa8Z06U2AUimIborJ41n9HDheCcI4t7kU0SkcyOtYPb68UDNN+JOtsarjpTbq2nUtBtGmPmWVr+4
oXSdd3qcj0f6ny4gHk28E/X3ldg+aPbkr0VcNVXCWL7N4jrdeEUjNk62qLfQqUCzRjVbjz0ouPI5
K8PnYtLsYbPAy05Az9I6xeFFltnXFg5vkEHyn2IbLpBINjWo4W1DtoSxaTEIMy7EXUemUJ/6ttNc
ci2+LSs24NRJz5VmREHHCGk7DtYboRnte1lCNC4p9re5zf7FgehcL569K5JioKyvwlumyr0f4TFm
qmK+VwZByh0uDT8eaRMn09gJh4qKnyIkiozLsAkNdhtwp26k7gx7EoNDf86cF0ezL4PZqKtwbD80
1cL6yf7BC/1TV8xTHKs1YCu52lBRda5//gd7QZLacgBUVh0kTSyTf/TvlOSXxGoo/gzb/8MRd/vj
dPhT5Oife/DP7wZcD1wCMC/8OD8prjyphtKekU9F3Oqb0siOJmR23ybe4B++E9OGP2q71u+EOtbF
ZaSvcvqfZcnKcSaRohk8mH325oU8DdfHcWooFiQdveQV/6X/qHX+Izlw1bP/+UTke7qc/FAnUK85
P72XkSgJQmTNfph7K2asNT5WEze2JuRBaVYerK8XYs6p7Xi6/f0bK/7qWeN742mHdYfT6S++yTqL
CA6Y3dXx14pNWhXu7RwSYc7j4kQNmB2AT76rjuga/LnjMR077lui2cg2md9jureoXE6wQDh1gQx7
XqEF6UBEgqtOyubx7drMNDMa1aZKr0siBQtrvJ+K6FknamBjT/IyMBsIpgqhu2VV9WsE1ySQLo+H
v3+lFC9/eZPXrFoWuDBS/iL/NvPEKypTssw0u52s9FvIxLfF0v4ji+3fvaOfrmyHPSyX0nqF/eHO
ILWTwQnJHofIy+VVhxlvNhKUgTkP4ZKOZdO52XUfGcVdPs63Tq8XdwyKk0Au0Ucz8lxeS5U0o4Aw
zOkUaV3oe2p41Dz7ItoRDzePe6tOCuYSsb1vwFu+RJY574vIrLdTMienQW+7+zKbYPhy7A9mIo/s
aAtGyn11kmXyESas3cos51Oc3Go/aelHWC3PbjTslr7j8Eb1FM/WIY7LJIgKgLACaQILB+ILh+XW
mQG5Ezhj7DxX+9parMgcgxrr7z+wf/OEwc3LXpv9BUb3ny0Zi0MKntQEBgEFvp9yYuLJZmFA8TUl
Dn//vaiw/3JxWIja+LRI6PoLia0158TJJf4lKxvvZZccAUj9wwPzU4L8012OGws4yfr/aO/Xn+EP
10USN1mf6zoSUG+sd10CS16Gy/v6pGcyD2m3JWXClAdPMy8q9OKtU+bQMsIvXZr+6iLG9E0224zy
U3EYUw7x2OPpVM/FtWFEH4utBPEkzI9yYTN+YKngEzbbnfPE3rKXf3J7fttmbn4lZ7a9uUXdAh6v
D0jWrHdmi45NeI25H6aahZWZfFgllyDw6utxyo6ZxbDCtVMKVENR/Rp1UJYM5Wge76vSjLeoCf7B
kiP/zR3LZ4GWG7E6pt2fDZilWfdTNRflwchpFMa4IAyHvHnf1DJec8w7kFBusdh2L8jDahR4rc64
qSAFg2uZsdRWs0tGaSGxg71tVJsh1l9UWguCMhGDZaN9CQfcY0NoXWLPTDdWy5OorhSKg5QcBlO9
L53uE8DzMAmqQ1K4oJZr0z6L9eeZQsyvw7jei1ztCRC6jyybvCIWtOxKePCR56UYr0iCqsKcqA1r
efbqdvwhc/2PR8e/uUk4M9b/fdqof/YzqKhB0aGwLCq33FDiECam+HGkPvhh/U/ELgzuf71P8CsJ
Hms4+/Ev/XQON1LMYC5xOLdmV24NG3GGG6bHkJPKM/h8EAozRp5pkMjA7H10fi9JlBPuQgE4VKHt
V6VXB2RlNkxckZElmBF8chJ+7TLjrI3uTe6xwo49qv2prMRG1N17kS73Uz6fCmc9jLnMIpG9hWqt
UhV5ZYt+3QwlmsTKJNGJ9Js+dXc9H+lne8ncVGwSi7/otdmR4Q5fUatxV4dD7+dLD8HFnW4/m6Cw
nNhhgcY+loN6THoaSRd2F9nMtHrWoh7bHlj2vKo8xfhoZsZtoyVHIajWDOZ5xOrObNZZexf8Tjiu
F2Q9kPgm22673kbdZF0qRz3aDHJ8sN0a91OtkeFAtaSH6fXUZO7GqfnbrWa9NISlBGhcm7NnTe9t
32/UwBvMCus6QUoaeBCPApnLlzQe75WQdiAq6zCi59bG9LgUzbqi4AYm2O1IU7wHWIBqMRq5MLk7
bNVf54b1lXCs8pgZ1mXsxo0APBesjdG0tMleNUTL4aW65L18MRGI/MN5bP+b25taxwJqxI5HCv2n
c5JFcdqwKsIT5MzvaB7ugRZdqC9488iJ3qz112erXaE93fUeld7nPV/G/W5WnfKblC9rClj/PfQM
DxmQO7bC2eQ9AAisqvC0pmE+5Ean0aBlSA4imUD1zKP3Rsu96xqu+2aJOBf7JfaQCqwxeY64mBrP
mLSfn0dBuaW3AqGgnsALjHpC7lwq64jGkPMwFigY0ogy20mHx37kCYpK6L5F/4R+Ib8eh+FeWkPC
asietsRRi02jllMRq8c0xPZVGNrCHHx+t7ul3rV1f09kR4oOyr6MHCI0mcOjIBBoreZ757fz9X8T
tn+YsK1Cd55b/3nC9vCpkA/e2ipPyr9o5PnS32Zs7i/gd3Tmbp+C9nVc9q8Rmyt+YWdIQUEBg2hw
/ZN/7S2F9csqV4cgJhAzmdYfBIGC8RtnHZ58NqqYtvGv/BdzNsLhf3pWQwzTLRIu+Ddt+v2fOxmy
nuDOp8lKKHEMtfXiTDCFKEmnivF17OySB3lQRql75yViGX0zKZOLIhVtM+ax627Q/BlcqIn4Ynfx
fFvZZvkwdnb4FVvddFsvJKEcHLVYh7oVBTUqiv1TsrZnTlayjVATS6pNr00pOhZUkOJMnR9fMqOi
X8ylJY7D0uTNtvESMujJpKPKyxid41Ed0/IDAEnC1tSb5S7TOnkTG+l0m8WhDLSKecBWbzRxZOtA
VjgfQZluNDIZ4qtx6lBnVJgaTa0Nax5nLC+GQoijWlxBtH2Cq3bKm/FVZ5DtbZoi7L/zXUjka2WJ
9ANECMM8t24SEjrtfN56syWuppDWJcion7NtoinmMBjfnK1Y9OIj4QMnKNSa2PZYKtqSDRR+W2yL
J3BmqO5LvRBVGIT8ZF9kbXVfSqVn916mow+akvhGDWH5WHduddN37Tif0BtH1kYOTLeIcXDIKMuL
nDhF3Wgqypu4du+mjJ+r4fDgOWWEyOjZyiFdwRjs3C1EvH01Ite9DXMqGfKfWt3YhKhHWZLmqto5
bkEg9+JcIf+vbzKj8W6tLk7ic0pw7qHj/duNVUPilJ00+yWO1TkePHM3xWNRBIlVVg+G0bh3Gn0E
XUrMSQTN51CQMcdGtDUe1zClq2Tm0yGkBaLo4FQ3WduM2sMii3lrO6nB2gQ1UJNng+RsNq0O2GLR
85oNsRNlQowe59drO1Tml1qfWa95jL7swIqs7htuTHeLoLe3fVfN3t3EkhBBiPQeOKOiu0ksGAi8
qWXGZI3iKwO8rqNmZk2z6WNNvbkLorisM7xzXcPk3g2zzk5tSsvkEDpNv1wNBOPN+yQctDPxaIR6
K5N8G6FPboltQ6ypYjGZG8ixVD3ckwxpZedYTN5t7WqGIFDOtp9KYyZ6BxGcigJ2w5ruu2nK5DOw
jXYR+4hwTnSdWkqex+xrvBGQu62kcl+bEUSt1nsYJ+LaFiGfj6ZGX3oMWNQW8bG7i7DomsMhZJLV
H3sbYdxV3jRz8gVPmNcfMWNaoI+4fF6cMNIeZtUyIsvCa6coxlMykvQXN8Ul9ER0zqkovPeUDf9o
+iYYFakdCcV2yo1j5vqTJfRkB2KZQ5AtEvlic7bTbX7ZCz2/apZIPSe9mWw0L66uuzSGuMsZlg5G
vEFCSh3spFABCWSP1bNtY7w9cHtrj2Ukwj1J7bjIEAeSe6q7Rr1JUrPZEAIY7ajRuugb8atmfpj1
BPX9OJjDZobaftJcPb2qBmaqxMPfEyJ77tMuvCLRoUNIXE3HlTuzdXAxMFpm+dwQV880TsNywJMG
NVrQhMt+chG+zYlp+EzWnUtHmE1PDAvaTLV3+9R6NlpQsOmAMGKZh+pGufo9CQwmKwFaYa2jbogk
KtExDxHX1Xa0C8su6FKrPOll3X0Hu3PRFzN8bdpMoX1q8ofSprhNx6qD1rM6CfJuvDUGHNCEtOW+
StBnSnu5JCRN7nOpr8E5Xb6bjcxAlsZXGcwDgqQlDmWTuctrRWZqgLn8BmvHda8yPDtmzLRSVO2+
CdGhpLamXxNypG7sjmhJ1se/ejxt9yzx3W1CQuwOVXxKcLrVwRwwG5gAFDP5OGrHtEiM05zPhBI5
0deKoDOALXQ+mTOXG9MjdTjHcfJFpY066EXUPzHvgZtmK20ftdPH0Nr5fo7J+O1bZTyOhhl+FZml
FdCLY3llp7JIfY0u42qw6RZQUkvc1k1S7zyvJaGxhpuxr4dMHt2QecOkac7dUBOhlSwcTWnRJfse
uxdXhb04l7lrcOMQcpqkW7dJVptLEz57gGsIzAVeg/whviye2/xaVllFb4If56V28mJnDDTTYWK6
OyKyvH21jPVrrUL9C9l4sLTHAQoTVLhLycoc4R/E+0IU7p3gD64R2mtkbUbPTtQUemB4zbCLusW+
tGZIAsYw9ZlxtKY0OnsZ6a/MyIj7yftkcILMpGr0Gxaw5NxhjbF6WQUjDLWLCAnkYqm8RhEhl9g7
6A7QL5MJrLVRvmnrCJ0OEbXPfa13X7jiMEglg6pPumhXPWp1x7BfvwjQ5BsXlrM95FwGkrRGEuAC
AsQk+lwmx2MnNfb1TvpdsEX7PhRrIlosigXFeKgszkF7PpaMSXCOzY21WZfPT1U8jPexl7nfJiyo
29pr3HMTml81b/hIkjJ6wfxPqMJc6kEnradSWto19xSIbpGN/mjwnFvmJnyKWrlnwPo1tId312ys
/VJhpVtC3PQoS15mXHoAgJCyOk771hQwwEehX2XxlG1bw6y/R6Ez+lmqVaCNRXoYTVZygYnumgVF
aNzmnd1uEYBkd6VhX8qoL8+M+IZt0Zv67JuojRCgxi0xSp1RLJfVIYEpovs2pPEjawhKKeoLpjEG
y4sxPzhGumzYLpoN0ioerpnVrMVM4wY9XZ0/ccpt4zJM3swse9RMm/2ZavSvsekkhypxne+t0d7j
xf0gixhNOaG0nua8ljlT+8bqk/2U6c7Rm8PlXOuD9B3RvKLWAkvhDUdVZiHPzrreYsNFJhGNAv7M
XFyJsb6yZuSXqW08JWrOzjnXvF8mCDSBdzFqSPs4qPV0345wWqp+epAL6XPGEpdsNlGExunyraf+
DHoxVA+M7WEgdAvvdViImXlKOW4t1kD+XHbFDgZ64bea+x5G5ovRROGr3ljiBkUYnBHXumuMnuvK
ei/MwkAeNrBoi5P6VJfs5IbG/O4Uipg94xtTzybeDPxIgVF26uCSOY1VkgzBpEFqM7o2SXyVcu5J
lYw2ca7SHWKN6cYsnfC2Datjy4cO5GcP7fISz50MwMBzibLBQ0c0IX42UuMi6vRpymqbrWo87PHJ
WZi3zLK6H+KhClJaQWe0eXVRhfFics9a09mw2JbnPk32a7HZGOVN5fQEaCiPLq/6QG2EChXnXqzp
N6HqbpY8WVW/yHrQPKd18ZW9KDLYbnpUBKjVRn/TayXpn6u83V6YtPXhFMzzkFEDYsGY19w9y82J
TbPQ0bCqcqR1Lkl8P9tFUwYxwipzdnCUM+ZabslCzX4M1v7X+P1T4wc3gKHrf278npM2osn5c8v3
44t+a/lo3yRcAlo6NkWmu87bfu/5QKnRbq2kZhccMfOM35o+7xdQAbSK8Als24Rh8P/EqsL+hX8N
QCYcNhdEvf1f+aKBq/7U9EFncgTSV8hf4Mth3fx5yOyONkzKOTIOrjuXqPpH2F+t7lnBUs4NjgOB
vzEkmhTyGAaIKH7Sh5prHSPDKYmj4SIqTFJeO4qd5YRGuG1ZctzG8KxOrV3mjySklBiSpHvVhP1j
OIYTaLGhedNFnbXJpuUNfurAnDybPYOLNbc+ZxKotd+ssKxOVRx5Z6IDrbdSb3JUqWZnvYna5i+t
JOTn3q6079nkTE8UMsX03XOQ/6ZHoibVJa6cbctskLCK9KRjFXX39kjnxOgL8YIfaQObpB55y8aM
KxjghKtwrsQ8ymoXnZtDKeZ3xboUhsU3XYx24kjNYvdrnuUuhpV+dHlbCCc+sMmIzmltDAH+J+zb
Oif2NnSVsnZGg5IOWfuvsljKU6ToUCEuSgbHMntpU0ailhHKjUZHGuRkNTyTLTffF5VF1rDEHYbV
t6hvQ28Bz/1ZDSFC0177Lk/wN03TU6x38SZL0hwv1IJJ5bnuqNhxo0+I25aW5s+f0lBvdqG3boyc
RfbmDQkXS7PTGCo8to0r34Zaxkz6Sfp7lZHkqQKl9XFSYn2XM/BSRKp7xqNHXBmAO5MSLUr6ii6z
tvjne0gOtMJVb1w6Kt4hcPoO+4eoy7zYuhbVnO/GXolmom3KbKeI8DgRXmOK4PM/c9IHFuaedmv7
TGX5e3Nc8DWWYC19rsupfjW9hUbS6ovwOUU3Rjr3qijsR0ntl8cRujRoQd6zCxmH8UQfes9QMYnC
at21N/JaaWAfsXgZxTAypXQqHM5TT06GiHvrraa37/ay57Blt9UtJ6/EP+6TFlCdzMgglBHYEi8I
lDj/TtPK9ET8dR4f0SLyAyiD7nvrRIxZEb+G9SvWBGYbxPZmmKJmokU37sSmaOOSQW5ewjFX4a4j
AxrfUz0mix9Vaf+NXg/ZIjUphT41AuLYCqzHPk9TpJWVVjJs9anP+QOCa/jnJ3t98e7C3sJfTNzv
QasmfmdpHHElbSDI0xTzsSxdX7/asMER3wFx90O6vFsXW9P58zvazpBNu1GzxZXKDa7NZlyl4KmK
wmfVZr0bCGlFeDiVOS77tiXmVZ/nzg1kNFUnW2/r1wal8Ijbb2oPUZJa8i5KB2+biVUAnIiE2TSF
mxBBYyJE8SOR87LmgqMrDnP7i+zTWXv+/ClBNw7RIZ9xiCCYt/hhsahxlWmQYC5ei10LA1MnMOuw
txqCbHV+PdDIVEBK8/UjZT2/vifprHeXHpvjyWPZcJrbil97c8KCwPUi0CiwBpN9VmmrlhVT5d5R
xG/SeTbtQRa6Me+Sps4/lsXiiqQpWq8pwyQ/FVGZSyLfMK66U6OYBhrubAomJ+sJhPFMUtpZqd3r
ivXACNbyFekFLAW9Gmhp87gsDN+TXn0m05d8I8ulkje1BlG6iepmKGhyA1wqqOZ1Jzyl3uw982Gi
pwdgY9wjfsEinuPzeu3l0IU7OuXpYeQq3qfKLXYUoGagj5F1NyR9955CghWMnrktci+fHlxbKwLH
pCD2zRaVpx/xBpxh5pBqUxYZkdlLhYw76BXRHxvLKzuIyMz+lwNwKueggOS8N3XqCKJdK1dsZaho
Qs2OwU0UpfKKGQzv74wQ5rl1HJ4gQ4NTwDELdaMMS27lGJnAA3pWjChODA+9qayvxJQIRt0u+QRo
AyIq8Lq8h6pnr/1ZTnqNk8Xmk/dpMVXt/F06hTiGiOQOKb7Kb7nlfG6gJ2en8wg8N62dfBfNpB4R
0cxXNQTkLertMIB68IQyrgVzKLsNtXFPR+q5yX42sCpgHcjPxlQqfo80c91l5lRG+vId3TqTH/g3
3cm1lEPFmTqz9Flui9c5S7tTrxgAoW5yjKuBBKvrgskUVkXVRn449aYdJOHinKGuQ9Foi+8sNmK6
Dpcim0agoWXqJ/eSK+3eKIBsbJkCQ77AqtEZ5zzjaX6HeJkBpe7t+9GeSMElWaxrMhLY6WH8TBvC
23JseZoQD14mZF3fGyWx4JFCSNR73RLtxyER5zpDFvwU1qJ6VnHePuRK3sbW2NzPJpphFXXGfQj8
7aF0+tjPaUXdm4a+5sCCu97qESvQyFTTSYbu4xKZ9pcBLsS+miwmB5YqK4/7AwbBYWyn9cZnfFF7
RTDU5m1HuIxvF3VsbRGG62dVLTmpxE2v33VxVW0nE1FyDkGODZNo8XSPODnBy+slBrkwVl/Deiry
wJCDRWlfDANRy02eD4FmyHw7Cgzn7qT3j2aZua+JCeKFoxCz4ZCivS50rb4abcFVrWgfJ473k8IB
d6Gx+6pat7muu2UmClpNtR04ZdifKb7TzUgowMPMGvY0T6lxlxl2/zFiF/w6e1HVvE29no93eBnC
6NRjN72KcoK96qZ9MQnTvYtjIyRKmkaMUnA6j70hghwExOjY7XHohHbTtiT+diYCT392iu/sYqdz
sw4jcCiad2nSj69YJcJNhK771qs94tgHFTl+VuIZxAPr1BdHC7NrPWzMckM6snYns8raOHJQW94u
xx+lPR3rrii/JkNP01PVT+FQ68dMb58JuR+3ccp12qX6q4H7NlVpd9bgkr4oFQlm49ncgkftDAjJ
WG66SEIHcavheiB+lfAAMDaOiZRAZxiFP7+eMHTEveQVunABYily8kLMoefw0y625FLRGRUXitQ1
Mze+hKnEcp3DfG3NSgYl61M0PXm+MeqR68Cku4snmwGI8EK4v7JBdmJzhO/ACBEaapq1uHMjad+6
Xts/VK0Eb9XSOfJ64j7IlgnzYT9eV21m+fUQPdl6A4OGMdHGEFMdROVs7by+KB6StEIgkVJ+7Mj1
ThDFrdHXtT5p/tAzi/fnLo5vkT2KXSb0+VFv2/E0d0L/At+aBxQN4TVPoPGQTF3SwRr27kSvj/u6
HGJ+acr6xISkuY+tIoe4TQO7HaqSHUGsKuM4yHS4A/+nb9rQvmKE6J6rLJqf9C5n543Y/zke4heW
fmFggZumoIAa/zQyRfGdboIu1HTiSM4cMD49IiIcOdjOHmw+hx60Cw6hArESDqQB/dScxRZ3QtFn
QT1ZzQ7lMKdjzs7cb5wip+eV7nPt8cLHemofmAs5uO6bMN1yHNJ2p12yaVY2ihviHppa4z4OsZz7
bYpv/P+yd2ZLaiNLGH4Vx9xDaF8uZiJO417c7V5s94zDviHUwAiB9gUQT3++QsAg9WJ7igvixNGV
w9BZpaQqKyuX/1/XfnFDlauhQyRfVzer3Egulpq2IlCJPSWITHf7wMbejGdZZf3NNXZJDa5lrq+m
bhmOUtvOrtzcHZ6HwrUitJITcqipZ6Q3PRmE0cwif5LRHx8vgoFTOdXtMlW190PQZAcA7Sxogbe1
m/ksWtytCyfV/+R8o1oqptpvMYjcVfQwKwN9UMxNrvTRyrc+h25PXw/MnpufkfrHLYiXxtOc8j7/
wrViQFgWCr7g3FLn9z6HrA/D3cd4XhTn3MjdFSEBZ/ipwA24pSk2xfLWug8T9CJOKGgjdUX7yjef
zrvP6yGlI2eRP73I5lX9EVx38y6LoTcHjCDr0aZlVtd6EpY3KzWrL504WD2oZlk8TpfRdbbMblJn
vXqfuVp2HxVJMYKtQblclFl+Df7L8DL3nb9w1JYXNm1jCzs3Ps2g2aTbZDGf04dNwVx4DfwbJcGB
u17DU2bk6WxAc3Myo2jVWn+udCV9WoHu6rN8tHBxRgNUeKbHFQrRCTDNq7wXjWqyUA89+F3ve1OS
/Od+SoDkySnTx7SqY1qs8qAyhtolWLF678NwRX0ZubvPiRp+TfVwNb2Jw8weftRjxSuXbnq7Aq3n
jOLnrPowX0J1T91qPT935rOp/dkluQ8qXMS/gG7IKbV9SNIiu4CBgnhSCGbB8ut6SvTT0HPHtx8o
X8seOP0+lBEn6PIXK7xcQW9tcGkHC4xaxy5A5BxnaWgVSnJl1uLqZAYz3MQKWCP/w0HI4KEp6Dos
VRVlC4dlXpuBYO3hRAAjTesywDg5znwGZ/1VOA1Nj3tqRIFBnOGr8TMYXhEAW881YYU/usbgfvvV
0R0wXeGBdmjwgPy2U0qa9mrVVupVAjZ2qj1aS4pYgiyocSXC/CpZ9RjVKm38wR5omekPKvbUbnmQ
C2eyoSmUBgNmD4h6p6QDlpEesF55clWoKdIXS582Jzpftcd4VnCDMlSLl18YNeX68ONA+ABVNneA
2LfDK5qs1Me3tdGtjqK9BHpVSqME/48BRE87GgLWBMk8n8uMnefGh6VO+MEMphpkWHYxdnM1uHx7
PLNb00LjoK46pgYUD6yysKy2BySoV1MWAO9JHNHASJYy/QbWCcugV9KYRgPLaBpS6nZHvWxFi0pO
iq8eFGCvRrczcxZy3GHNzyE5MPL7KF+od1HPWqfXOXBEfy2mpXu+mJOtOQMveIivHlnFWPEV3SWK
AyrjF83qQWyYrUgnBlXF3SKdmR5V9MvyCwlPs6C4UyUjPYgtChe+AwIJhSbRX27p/pAkd6D7XEDn
HBOPka2n35ZhXYyxE/HfznoRfwFZnGtcmRV8H7KflAy6Qeeez4W4Jw5MhVu12ht+WveKqrgQBDDF
peMnpDb5Yn5vJCn4//lUpRamgJvo2yYAElmZ2nD6/D+8+aPwJtwRwCC+Ht78SoMvqZjDpjG6w8Tf
7FrxFUOAq2q2RfMX2IqiNWsb3aQUkI8o+Nf3yI67Tnyzr1BWrdMKYItmexH3JKtWTn//zVBEJz71
uwIaFOwroqW/UNEiQpcHhhXTQgMabWMwxRgGGW+x9w7qZ4fVUiVcni3vqmjsFyEpgqcDbbxguXnx
Nwfo2M58BV9uumIAZ2bR4Qw6oesFi7sA5O5o/PZQG0PQehm6oUUvHXjFAMgSqW2/TK0WKmDXhsq2
D2tFOBZERkiun9EfMM/M78Vs5TujKSnAUrlUUhCT1pz2Zh3E14quZH40ThqoPyzslPrZS6CulEvq
+KtJAAR6EH2scppTjRvFAn8pLNzZMH90Zkp9w/GUDB/rrLyYaYF5DZ8G/XAU5wdg+g0zCH40mq3O
HD2nFUVbWHR2gWagu9wA4BKczr/gwviLnI6qeGEn75lERB2uVWsg4FbadY7h/7NehdVNOMxId67x
YpYX0SII9ejGBmHxvbkiz+2oVFB87yUK2LY9PyLQU2r5gCPc0O+Nnp2ub2alO+19WRIEMuJzHXIb
F5zAcj4rV8NLO8yDLU3c/4zV2L6IwFM+3+ByfKomef15UlRhucezEJ8+QCtRPib/7ku77fmyoC1a
bGOHRqC8lWIGftCF92DntqzQZkqb+b4lIfSAoq3GE6Bo3b7JyS0A7UiZiKzJb+9CoOS2H/dcUPVU
oIVpId2UPrvNgAcqek0Jb79fo823v9N6A2+MQX0fgJAVjMpDu0orD9bjZ5TQEXGgBAfj6ZDEwaHa
PDhbh0qgiYXyQ/jHLLTDSCf09qoravnl3t7oCyYT4UQ3PzHGuvX2nEcW/Rp0Llk77ZyYEvjZfnIj
vL4GtL5osCOpJ3KHPJ01QJ0pRyG8txyOm+fklgL5TpGDlFoLhtFnq9N6jnfRPO214Lh9G3h3Aq54
GeI5OS0wNVK+UkoA3Z6cs0Wyzm1esrMUVNXtW3hsNtXNOyWd1oYg9+rKGkWWgkOO3cWXbF4SZ/PQ
LDgmSwF3h3aY5vNmwFOyjUC+4lZLrQWNwnOWu8A+3z4dLQiwdQgQKIFq1srJbQhCI46sFvASxK8M
rPw/xq+1FoAIc8C44BhptNCcSSe0FghMdBsRXnGVXj8h8BKo8XdUHSt7+PY2bBiqoB4S0SDxNFb4
hN6eNSB6fqR2AjdMboPCF9y6CZjZQy1wNDCMRRQIC7x5NgOekBY0ej7wbaS0oLMITA2O5c7b21bf
Vug13fvJp2cH6INtJtV0PO7vHc9vC69vAaIMDv4RjOz73/hwDbhq34FZFl9y6z6c3E7QOLNlraFh
9QkliPjI1hp2/APX6IMtoHP4NCOd1BbgWi+5BQytj/PDfdHd/sgdxwA8JLDbFWAWms12Sq8P7oLs
r48F0IHhIPq+vSggsLUH8AioCgTVYrtHTu4sJLolInpydtAVbXd0iuMCbp7OIoAtpm+ZJmsAGkDx
sEcY8JTWApmKZlL/3h6yFbD4pCB2fg9763At2Gaf6C5Nt7ur9cn5yNSACUIfqbUgPAOIxbk1vrwj
bC6VNpkaMM2a5/ROBXBhZdcC7aaCRM3e74hOGMXGPyIO7YgW1s1zemvBwDLIrwX42kzB/faiXXA0
/CS0RLduo4WT85NA3dSkj0gFP4gAwtY/eBZM4sbggLXs2gdaOi3rqOvA90iuBXaEY2gw+G2PAKVz
UjrCjyJtjzfRrIWTOyN0GtiltaCCua07MLy9HFgkwq5zfrAWUJV4movaCZ2UXOkMWeto2H0DiBua
8IkSiKdjHSkS6ps4FHu36hfWwk+oap+2GUyDcLxJ2AST4qW8zmtf2KUqnn++TVMIYj+ypfu06+aL
In/TjD3ZI7z/0bpebVyigw93LtLhn29f8PnQL05q959XwST38tGUoluyPfV2mndeRNrnP6H35EXe
YR6F1YnZ+2cmv//WmueBLfiB4GLekStIO6Xl5sE6aSNENKkPecFzLy68YjdF8TNSoMHyk5U88ELQ
NPNOk1MTn5aWTWV+7o1bxK5NIkxechxPRmUAc8pOBUIl9KBil2SFv5+E3tLLJztJQjIItUdQ9i4z
+C75+x3Z+Sp6aveWNfE/2flfoPVg3F7eTZBZVvLlJKEhri25yWrJSr5C40FwqHEVgm+cT1nBH8be
tLUA4WEUTXLSckGxhSyovSObAKa06HgM6Gtby014XFpysuyIdUX4Q1bszXPbBKKdegTBzKwazeud
pI3ZE8fv7j9erIDaXxPfOgI+JlVQPFNzE32U1cetF8Qt60Gg7RjHy62X189QvptwsfyUi8IbTati
UpatNQ1WjYjFScsPRtPA99q0L03+T140Z0HRIS/eRlDlZRdU98MskrZsE/2E4ppwDOlJlXdFi+Cf
tOgkLjs2hBJcx5WXfDd5yr2O90QoXVDxyE76brLw2ufWNggoL3j57sqL0gLS39bGRL7w8Y8h/3qS
F5N6J0tYqm3U6hjCbyerYNQ6xhAu0sbHEP6NbpmdpO28RcxRWvSGRvUl1DSIVEUg6zgDPCcu3/G0
7u8y/+6ScD8N2hpvAk+ys76fh3gk7VuNRgDiCEb2dWYtSVU8TOK4qMOF17kmbKNQsir5EYOF5Ox/
DN93lAGeL0QBLHiE+8gj2p8UxaRlubahL1nVP05W7VvlNpgkK/fP0pvudriwKeCNCh41WbF/TfKI
k20naCOZo/gIhvAtqA/J5fHV49wBWqhdFbuNV8lq5OukKN+9OHlyOkdYfF+DYpTERdDy3LZFfNJz
f73/4E2VvxRp2mftnsefdlW8L/1ZO7gmvjEKJ17+x38BAAD//w==</cx:binary>
              </cx:geoCache>
            </cx:geography>
          </cx:layoutPr>
        </cx:series>
        <cx:series layoutId="regionMap" hidden="1" uniqueId="{1619317E-CFDD-48BB-A473-5AC5730577D4}" formatIdx="1">
          <cx:tx>
            <cx:txData>
              <cx:f>_xlchart.v5.4</cx:f>
              <cx:v>Team Count (Current)</cx:v>
            </cx:txData>
          </cx:tx>
          <cx:dataId val="1"/>
          <cx:layoutPr>
            <cx:geography cultureLanguage="en-US" cultureRegion="US" attribution="Powered by Bing">
              <cx:geoCache provider="{E9337A44-BEBE-4D9F-B70C-5C5E7DAFC167}">
                <cx:binary>7Hxrb9y4su1fCfL5ykNSfB6c2cCW+uV37CROMl+EjmOLFCVRot769bfadhK740kyewe4CHAbg4lt
tVokF6tq1api/+/1+D/X+c3WvxiLvGz+53r886Vu2+p//vijudY3xbY5KMy1d427bQ+uXfGHu701
1zd/fPLbwZTpHwRh+se13vr2Znz5r/+FT0tv3Im73rbGlRfdjZ8ub5oub5vvXHv20ovtp8KUC9O0
3ly3+M+XZ863+kW89S435fbli5uyNe30Zqpu/nz55L0vX/yx/4nfPP1FDgNsu09wb8gOWKhCwUKk
7l7i5YvclenD5UCoAyxZKDnn6O7FPz/7bFvA/T8/rrtRbT998jdNA9O7+/fb+5/MBS7HL19cu65s
dyuZwqL++fJtadqbTy9et9v2pnn5wjQuvn9D7HYTevv6bgX+eIrFv/537w+wJnt/eQTX/gL+6NI3
aB2Wn8z2l8KkDhRWikom72EIn8Ik+QGRWCgVkvvr7ClMPzGg5/H5cuMeMIdnvyUwJ64zzS+GBh0o
iRHiHAC6ez2FRuEDqbAkRD5YGH0KzU8N6XlwHt26B8/Jv39LeM5u+u2nX+nd1EHIOKVfvJt8ig3G
/IAzcG9C3tsVforNj8fzPDCf79tD5ezqt0Ql3ubm1vnS/EpkxAFhlHPwavcOC1b+cdzBWB1wLIjA
9MGsniLzc2N6Hp3H9+4hFP/7t0To397M7pfGG3pAIJZATKH3Pm2PFmCMDzinTHF2zwv2DOcnBvQ8
Nl9u3APm33/9lsCc3Qwvjm58czN93r7/PWWj6ACHCikWQtTZvchT0xH0gAvJgJs+xKO9gPNzY3oe
nsf37iF0dvRbInSujful2FDMGFbiIdjvBRxJDuBKKEIq7rEDHndP5e/p9I9G8zwq93ft4XG++S3x
eHVTls2U99tfGm7AZqSCaPPAnhHaCzdCHMhQSiUe4fYYl58d1fP4PL17D6dXv2fIeQM4QSZ3c/N5
A//3jg1yUUmJUuiBjO07NkhyQhqSHS24N569oPNTQ3oeoUe37sHz5vdMdD5LBy/c7YvY5V3x8Zey
N3mgEBUShxBbHtM2sCOEOVE8lPfBZy/2/NNhPY/W85+yB9wi/i39H4Dl/PbTL4xJIYClJGOIfjWb
x5hhBBoQgBnyvWD0M0N5HqCvd+6BEp//lqC8uRm3zS90dPiAgoVQiR8Y3F40UpC2hiGBaATecPcC
FvE4Gv1wOM+j8nDbHiRv3v+WkOyY6Afn7eeV+e/DDyUHKlSEwsp/4WaP7USwAw5XGP+cE+1LoT8x
oueB+TqXPWzOPvwW2Hxfob3fuff4PHnnP5Wq1QFDIRM0/MqdH+MDVoPwzouph5x1L/bsCcd/P6zn
Qdq7/clMfhNVOofagTO/0JHtUlFCd4v+sOTqKR2QUD2gkodMsntHBtcfO7LDnxjR82h8vXPPZA5P
fguTeTJqqO+sIOqbXyl9EnnAFGSiX1TpfWjIAZWQhxIZfvF2j6H5iQE9j8yXG59MEWb4ewKzvnE+
/aXcmRxwKomk6vngL8MDSsHHUfS11PMYmJ8Y0PPAfLlxD5j175mAnm6bZnutu+ambX+lSyMHkF9C
iAGF7e61p+AIED4RxCGoGTz1ZT89nufR2bt9D6PT3xUjP+Xb8tPnlfrvSdoumWFEhGzPnQkOwhoG
zfpz8N/LZU63Px7J3wHz+c59TBa/ZaQ5NdfapNvy12FC6YEUVCjQA541GckOBLQXQHX64foecf6Z
Ef0NNl/mso/N4W+KzU5Uc+32F4KzE80UpuFn7XM/16QHWAEHgGLP54feS9Gn5ifG8newfLl1H5ff
U007NU3jOm8+r9Av8WMhF9DNQZ8v4iigZ0KEApMHm9lr6PiZEf0dOJ/nso/N76nNvNs2GnqxWvcr
PZo4oBhDrinBae1e++VPgg4YNBZ8gQ+M6jFH+7kxPY/P43v3EHr3e7KAd6a5dmVjfiVAUOMMFZRA
+QNL26MDkHgKENAYU89nNz81pL/B5+ts9uH5fxR0/r6R7Uvn32Lbbpd3LYOPetm+f/Vu9tDOuHfr
wz5/1gPem8Dhpz9f4hAaAx7pO7sPeWIhm+2wNV/86aNbbrZN++fLADMgFUggKJWykGHGIToNN/eX
ODoglFPoDJGUwVvA+Mpde+SfLwk5ICHQd8WQoJQTCdsCHPfuEt6VLBQ4XBIi8KrQkvWlYfOVy6cU
NujnGT/8/qLsilfOlG3z50sGWUB1/7bdWClETMmogmFxqFZR6MuD69fbS3BE8G78fxBX+ZyxlLxu
mqrqomouminqMYwznvNCnVQ09Rfa5P66Epa80doGl0TV07qkwVTFuZEszpuRlxFK8mERcBy3KqiW
bOyrDw1C8Dk8SEkaBb0zrzI/VjYKKhYeOj3aVUcJWVY4UyckQOMrrcphYTI7rR2Z7OWchfNGpaKJ
NA66m3IOZh9pOtDzYDT6fCxzk0e6aYetSqtpK0I9mUWqYdlinfaBibz180rkqD5iU1B97IjOtm06
TK8CO+EFkdn0YfKzj1WVWhGH09ze9D7FEalyephCY8JFqvkFbgNjIpc35G0XjrMFOv2ldfUZCELY
AfsQcA4OGjI1BB14ErbBYwiKmdIsSBr+evahOmRhx5YVGT2PlBsDG4WkbkVkSKFeOVGRk3IgMLWK
S8diY1G/nnU2LYVg7lDNXX86J0yfkY66T9jY4F1Zs+ZST8G4ZCbLTjvWYh1J3eZXeZ7Idap9teqa
0J1L6d+2ecg2rBpORDqQN0STtdDqU1bz+uP3J70LPE8nTRFwaYF3JVLoa6O7fflo31WSyzRBVfma
uiL5gHfop87h9yDTja8Cgfxhl4X+sMiGdkl1WZCoCNp51YTZfDp2I/pYWQzLoNgwnqcltUeDC9nr
ZIKfaqCIN6Ry+DgNyHCuO45PwrQeXzGZXKV0JGtlTH5ly6GPuc3RxpRDudaBD9a2D/liAhtdzqiA
PR22qD9Gc/ip5N3J4AnetF3CNpP0TRvRJFyYcbLLkQ1kiSqlV8x8yCuVHVHqhmujXRjlbThcVz4J
D8WU+41vcR8lWvdx1Xer1gzjJRilPRN9AMbUWLOx4SdUmMxHPPG8WdhsZseSpkVsEjl2C2OaOnIi
U2s0exIT08mFKMvxciwBpagtTXZa6LA+mWRO3k1tWd3IvC58VA6+4REEmnozzgKvSt00GzVW5jhv
W3Sa6Gl8JUvcnzJbw+RI2OXFstZztpm8zlQ805RcBqYdz5sWw4ISk67MLOfNwHa2Gdj5ouiH5h3V
Tf1RpTY9odSrGKXjCFz6ewaz57MYQhIKsxikC2gfAiwVpMiP9w5J+yRJexFc6hbNF63qynWAm/xq
Gge58KJTMVW7vePdfD0QOcdN21RTTIdJf8oqN55VnCRHdYvqd6Km1SLXOVrXsno/KmoXdceLt0UN
n2J7z/Io68NynQP2Jy5JdITadF42LB2XU+HI5Yi8pZGYYKpTF0ynVCcmBnc1rXrKyM6hOnvkWdXi
JWsDsjSoq+Ezx34889bNF3fbtspqFRvDp1NfM3yCK5fculyi9zIomncqw827MpjrM2gJ9llUVLrQ
izAszccS2XXtfFDE3ag6HYVdx9d0mq1YWqnluUS1m5bfX36CnpjubvlDiDsCQS89YUyKnWk/Mt2h
xk2Qzj65JL7iwaLFAkeTr4PX2axgBjgjKOZ1E7zJJtPriI2Vqk5HX+pxLZGB8BKCDXYRyevkSNq+
2tqe+ylS9VClcYV98sHTCSaDSI4Pa9MFq38+AboLr1Dgh7hM2N7+KWfbeKxTcZnzuV2OGR7P6ipN
VzVPch81JfiZpB7AXxAOLqbULFhyWVZblCB2jAee3ILtheCYJ7cNR4FP+DDaI02qLlnVuUze5KIu
kkiXaS6j74/9Lh5/jdd3i09Bo8CYEAE1vv2xD4U3fqYDu3QdY2U0NE1yC7s5kRvf+PwKz2Y+zcZm
PM9FX67bQsIMSFnyQ1mZ/sgV0sSDIv4wZ4M/dKIO3rS8UGs10NbEvu7K81k25kQQmP9QqJxEbTM0
tz2ECYDI0I9NMnSHaJ5lH9t6Hl91dLDlWvTCx1XG5mgkHtxQ1yXviMbZJpCBPGpMTZaJFHyVN2G6
qnI9fvC8nNd+6JNDM2m/nEtRyrglZLzBaQP+ihQ06OOmIng5h5Vahc5+xIXfNDos6yi0VXWY0z75
UAowdeAE46s700tUkH7ySaD7Jbfwx660ydE8enKZk2bqFkUW9rEitf6EqmZeZUgnH2Dn9Tc0L3Ye
ZLc0mUiOOlPOpxTNsHy0AM9XGY+iiRT2DarInEa05ua9KLLr0BXusE71eGgH0sTekz4OaE5O9Dg0
Cyby8SzDM8SS728EIIn7ZqhAD0HQkQ8+e0cH92gD+Oqia2xfX+octyKeEBhYdOeb82Gs11NS61jo
BCagZ52ugIpVW07a+WLG4JOWadEc6qAWC51n+VFt8maIpgIZG/dBZoooTctVW9uduWKBPk4Dyt+C
+28/koH2N50RNFhAV20hFo2WzqxLoGOnfdmyZSHQBPuAlmEe5WGe5KscJw5Fai66jUyDcTHNlTgc
afF2HBwOYZTQSBcHxKxVzYMLqGtPw6LpUPepZhBWYH/phXe124x4btYUrHYjcrOjnDtcq8G075rR
blhg+2kxEjMvVTi9w1VVLkInwwjGo4uoycAgVEphs2akoTGXUlxD+aJY+L63Rw5naDOrfAoiHs71
eq6JdqdkTKiKq87qK4gD5qoJsjyP5moIZeRMkb1roD4yR7mtebrRwFvGuAjBG0SNrvSnQAl8GfTD
juD40R0hOUKoagq+8HNv0yjUXbtsR10gmK4Fl5fDCS4UNYOHn5O2AzOYNJmTWPKG0kU+4/JNmrbN
YYIoRJ0ZZ+FHHSZmilPMK3sctO2O/qjpIoWDXcFyTmv0scgd+NW2LuRiAs+O4qCc8UnKBns0wUaQ
UTo4dxzQSbuY4TB8j91sJOynbr7ISpV0ERbZeOmBW27aoFRp1DTzfEu4lYeym4MlNG1ZHkme4DRC
fh6WtO9VLBtudMx9IqLBB7ALTQ0sMxpTv2gVs0HEqgQtTDjnt0IMl62rcxMzoK1JNFhRxvlgizMh
Cv2KFGKIIRgoWBk1zRd3hvSQSz7w7/uU6NpVkzepfjjG9uXXf71xBfx3d5Dq6x93p+C+/gba7v3x
ue++C0pTO9Gx2X/TbjRfPgsG8zC6XTb55JdvUtvPqdxe8np/Gu9vLv5cZksQoxD4vhCvbzLbvULO
15z44c6HBJfDiS4iOcYCzp8IjBR0KzwkuCKERgcomjMi7w+vgIt6SHChRwXMK4TOIQH9XBLKiF8S
XIoh94WuO7Tr5ALBF/F/lOA+9ZLw0eCdFCTfkIjD6Sa1S74ekRVwBDywVVBtpMlvtUvVOpCwxYxE
ww888i5TfhSZ754EbTUUshoeEnyX5j16Ul7Sks4jhieReYgKVP1VlW6MhkR38SMcHnbsk6T9mSfB
M0ASooJ8m7OnbZDMvrLVph1sFycdOm/6Iot4PV/94weBPkAoYvA4BM96uni9yLFyfq42U2NvbW5v
IZrcZvDvf/IYJikWgPg3GLVcz40GmrhJgkEtlaxrcJ88j+1o/oOlg70K5w+FAlEUjk09nVFaoYI6
DTPqk8KfjKizUeKIPPFl9oNJ7T5pbztIDskJAZwwKKx7ayd6oF6tGqqNHgYb8W66nNLxChKDq6rv
5Q80hKcqDuxskA14CGdbhSQc5MS9aYEK5cA2XbVRdQP5IPCnTSbrJHKB2SK5Sx4pEFY8Je0/34qS
U5C2oMdvdwpqz7y4dx3JdVltqtq4152vw4ipwF4FGfz0/V2yW7BvFpQJ6PPg0DcFVv0UurnLusm4
otoEXe03RVdNS8g0ktfff8ozViz5o6fssyqpaB90OTxFjeyY+PGqL4byqPT/2dI9etLe0kF4064v
4Uk676YFH7Pt7II8/gnzQt9OSkGTpoSdIRQoamJve7ikYLJwVbGpeuIWFepBVpqqdnw102JaqgS5
BVYer2oQojcImMoiy0O1DGtaHvU14zwenBiXcky72LtyuBbaFLHIQNWAAyR41Ql7O0kaHqYzCAiV
aJLIVzPIDUS5OnIVvGXSSbFEQJHjDiLGRox1cQFJM3lnBXGHLMmSv/oC6NtQjGyTiNlGbirVeshg
P1sx8jQG9h4UkS1HuejrlB62rS6Xnc3LZUtE+boNMnqE1Dxc1wl4edxyGDvH8JSMuuNBNn0WayG1
W040Rx8zq4PYNDCegCi6LRKYtO3bauVASzxPyewWLaOMx32YJFmEu1yNUR22ag26TLWqUTIusxrE
l8BXQVwgmN1cgOMqMtHGoi1JnAhwLjo15ZJzCAGlGPGq1ZVr417h8IgWvVlnfnbHGLVuIYvarKUq
ghj0SvIu1T07HlOc/ZVKl1/xwZo18KfqQ80L8i6BuVeRGHD1oSpoN8OY+gSkUFGpNg7DCWx95BQ4
V0AhJ2wGCRIS0M4LoGHtXwkszbHO6uqcd9ktwoBpl3HyDlLD27EZktctn93hsHONIBG54yknzq58
joCwQndcrl9lho+X2WjoIXj0Nk76wqz7NA8joAEGSCzpyiOThsC8aZeasxTSt/OMp+UtDxQ+ww7E
K97lrFyQYJAyutv2eZPSoxkl8kRzWDJrYBGSTmegO+kpLiA/fyPnnfCZCmP/UvMIIbYe3ALEzqxY
5G3v5tjNnudrUxJUneKur9SC66R/r5MqUEuC+0bGpbNmjjgq/UngzPxOBiV7M5a2uCVCA0G36QQc
DTwnqCD1hmZYXTk4yPEmLB3sH+YRgyyZst5GCkQ8t+pG0MhB1A4jpQhA0CajZZADV6mLgtQGMcq4
umpqD2a3yybjnkKImycl120IEmDE8qHSV20ZpP26k2W2VSDvrtROiOPCAaM2qs/XTZ+Ml4NX/fvZ
z3bNqq7NV0PgiVllVcjm5ZxJW0e+SYcu4qPFH2dVNZ/IDLZFgwTE7nxgzdtetNWHNKPs+E6MLEYH
g/VdEB5xRM20oIMJYmwBCaZT+1edkvJoTNJy6ceGxNZnt0RqdZJgHh7BQPAKp8W0CKamHha64Pos
tWpcdmmu1lkACHUhhL4uBK+mpZcLplXyOut9Zxe6GvVNWSm2KS3vo4lrPp9Q3L2vmqlfh4WD1EdB
Dr6cB1keDdTcNompozpoUdzgfK18etN2HrLXZnxd1mTTuv5jB/r/UVFysuySih9DKBQXugOjxCUM
C+G8P+1br5apBTunsk1A6Bf2ncTVfIzUuCpmkcfpPFZtXAy2sZE1mQENOIdNDV4R6hN5NS3KLlPn
IZDKVR2A1dsunxZ9XyVR2IAOD8IQ2xRD26/xLu5WFOZNimxrmgDkuCFj23xs5EXYt/jMpQN+k4GM
fDR2sKMsONS/OpXkMcont+hLmD5rZjCjQtbqvC274boJPEhUaQM+R1MrLzAHtYWifMsYOErvwX9w
SEMvZgM5KPF+WiSiLpMIqgryInHWn+ChA092x7Q65et1jopukU0ZODHSuQUf4NHeOb8xjWxjgvFw
rVl5WJV5GaWqQbCDEVl6k5+HVetWGjJhAKGozpt6x6sdccc5rmAzDbXuTFRgGlsBq2MSNSwK3uHl
ndcdtPnQWolv0ADeqt/tEYZmfGaT1pxlbExX/aQz8HHAJKIgaNlZlrJVQ7M57h0I3yycwSO2boz7
mbu3ZoQVmkVSLkYEShQNmiHuAOEsypH3mxSiwZu+SneZdFkeJXNXXDQd+J4gBe8xKDB62xew5sp1
qzBjdZSWvTkLE4I+Kty1x33AgI+67lzaJt80HMoumXZqXag0OIXvPjkPTdi/D7KsOZ9G3Z4m2fzO
oHB4J+0kF3ICgYTOmIHAAOpEqevivAp88iq3H0TtC0iD9a1LkzQGFe4t2POV71G6IRJyeJ0Wddyi
sDqnU0NyCIvpGpz7x4A50FAFBD0LosZhYHR+VZfgeX0JHgcVEr8xCJTkeAZIq3sny2lTrWbAYAW5
1xBZPoJuJGkZ91M+dpsCTrr7dalVRLCuBlD+VFZGU56DM8sgyathi2SqiHGK7GE51EhFshKgkFpf
+MXU11Cey6sQxCMot7QoYslQF1FVkLdNQYqjoQ6LIydaVMVOdvVRmDfdosPFRPJFUo9O8ONpIGMx
Q/DJPfg/yPuTy5oMZlggm+lgTU1f6KMhU2E/gkCY9PKI9p0ro4R3UICNgYv7jkez8uK2mTItI9nb
4qZiPI2wSUFzkqLC8TAp3wC7YWhZNyP49UkKO5m49W37quQijXxGO9XFjUyzZVtpTxdz2OG+AN/T
/CUtsm3sxvz1kIVjHlWYp8AQpoRCWU5M/VGZZ3ZhKvSRym5TZVkWBVNYRJQFekU42Bc4jv6CsSw4
xWEZZItWFCPEajKtwU5JGLkMZLcul+2G1KAQjXWytZrZpRiIXRLk5AKUW/y+aMl41kGMxjtZBS1K
SrogVnk4n4G5ptdpLnAXWZDro1yMCqhlEByakSG5EiD/2YhycN80BXYC2RIdooGqnC0qmPDGdkNR
xHJi/fr7BBvveO0THg9lTsj9odbJQlDh73TNR3kyaEcp7RqUb2oIoAtOhv60TTskIumBJ7RALc+m
MNA6IjPwCqu8OwaDZ8dtWKQmwupHidrTSiTkTrvxgEKABajpkOzuJ2pQnAYbgPH4Al91aDqGqnEd
DQK+fSXvLpMJwtz3V+CbzFAhjCA1pPCNENCWg/ZKnw3tWZEOVb7payBhZdIlEKCgNliW+k6Hc9Ce
8UW2eUYuwN/Q/90DBVNQa1UhNPzuZU6lB4JDodIJDqUeggi8hIOTiWVfLTJfbNvAqaUFvfKcMzm8
ugs7g5sxX2sy4JXGeRAnNmdbN9f9GkoLPxJOwufGxzCBbziBY8ugJO2lJ9UIWqWknd3ooqBHXd8U
ty6swaaGdmgQSNEUyHae52BIOsPtWc+Ba2ILI64wEG0DkwAqUx5JUoPGSSDzbExVFnE+deyYEqNO
Sp/5E8sbtWz72lRQn4AqbpqAVw5HSFyXVBTJ65AiuoUTInMfKfjfWgZYXEwJnBqJkmnMr5Ax2V93
UbEsoZAfD7Ml+gdJLt4rru12I4a6EjTTcb7T9fc2R9oNSQbRy25angHfDhoXtWOWxkNI39dGBJsA
aGMkM01WzCsWp76F7zP43nb5Js+G3mMuCYOBkBC26d4I2okPvDLYbBTk22sWpO64osOP3MA3igU8
BYQKwkFhJwJKcU+z+c50fcLhkM+GUyDPPAXHVVa8jWuiIM/gFkrnUwbJg7ZAer8/QfLtGgNF2TXF
YQXNcXQ/HZ6wpb3PB72hzZAmm5w6dRIkifqr6IAaN25g07kKmLoq6XRl1VTfQsfKsGynnoGQ7kpt
dv7Wt1GddzJcpm0FdJJaqO43qTrJoEPnU53gpD3cdXWk94rL/9er3zz3HXBfVeddpIBN9GUnf6NX
v971R71YbO2jtuNdj9PDjQ9yteJwKkVicGUKhGkKRZ4vcjVG9ACBUhfC18GAsHrX+PVZrmYHCk7s
Q7cUtB/DmRbwYA/tWCBkQ9MU4Ts9FnOw3X+kVkMP19PoCD1AYP4gb+3OO4HQjveK6wpB+TlJ6uAY
okd/Ab1boCtQzw6LfIb4X3XNAs09uQxzDg7K0XmJ+0kdgjyoF6l1w5vJ8uI4bAiwtLqVG8ijexYl
WVZC6ouzWPBSL22bXqZVuKG2hWYUkAhiSsurobOvBkLbyA6pjIOdb8M8G+OkoSpSRZlHDbUojWoo
br5uy1pHVUVEPIdpcQb+oXlThkpHjWjpYup8/gkFXQQFp7eZy24hVagjkXQXk5ray8xxtq4HRqHB
JuuKS5PN3ZGrZH08Cd23EWhDdt0DwQcZqhxPpoGLwyIdi2WWze0R9YlatU0Xxhk0UPAF9GmhM88D
Alo7nZJFP45VEYHAFOoIiqLTZkYeQXsOTeKK1ewEebnJc6gbgsYIyZ3Cp4XFx2UyFosMmiiiVLZk
abWdorqWyQroahHDhnFLqLj6qE7tEJmhjlMb+hjAKo7nltqVYIE4KrKMxwnIbVFHRbUaSTqWm7EM
MYtZM6ZLm8+va1bWC+hEuVITJm+HgnGohIr+Q4kdAcGlVgs0hS45q/xE0DJ32kBrSR1ojI77Mgnn
16UPre2WZnAyuLb5iMUMzWldMK863kDfUFe6Zo4Rc7QHTtnWbdSybLqsw1KeqVShYDnIOhwjD4R9
WBek8Rsi2LgWRVmWkcFUnI9F2V4GwNTbaDJBodtIzk3YR21q2ImwHsXQM2HsEpp+QElse1VAS0tH
7VkwmbAKFkExjum8dhU01/lTl+Um0HlkHdBCFsEHNQJqqv1YzuURpGwt9x8cSRiUGKGWC8pK40yQ
2ci3zmfDRdLaYl3WTor0PBRz3w8rlWioTkJGVfn2UjUTmfhbEKwa9DroJ2gsWwYqg+bFmKRFN5IV
gjA7Qqug5Y6h8RS+EXOq6lXdJGUX4xzhd05W4wUUzecCgg6oCSticOZiG6TjwmCmkjgAmq2WZuqD
K22ZsQsyi2KKoHdiPLUQzGVUqvoTg4LrvHA1SS7LXENHF3iSuooyCxJPwkBlOguyieC4qCZ0PvcD
71d5AElO3NUashjcQm46ZVhvXJkHSzOLEAK/7KbXPtGQlYRQRH5nTa5sxGoe/lVrShZ5WqTntZ7q
c14bCfymqkACwOUAHW0VOp1RAxV5qAMvoT4/b8xUVq9448srNdZjF0EaQeeITlmTA7XG/pBkWXKo
oZgLDSMiGCLWtMJGaTuyBQ5wO0cIlwIgn20BOWHYThHuNVn+X/aurblOW23/Ir5BSCC4BdbR9rJj
O06dG43TJJwkQIiDxK//Hpxmmjjd6ez7fdF02nEsFgi97/ucVumb8X6aeXsHHVVxgKwKms05vE3q
uXgUsrdXveyDEABOsT6/nvL/K4j/UhC35gy9238uiJfXqNVfC+Jff/Hvghii1KHUAHdHL0YgNf4u
UN4KIkpk4geQeeFfaNK+F0R41NGiIjwl8lGmwNX+XRFRKyEjoBC0gquBwuq/EijDfvVTRURDvBnl
wajygGwU4VteFRLm3gCoCK5XMNo4VSpTuFHkXeCnypkbb2TJrldcjukchwCLUL/XZy+QUCLjNT6a
ufeuBar5zmlP7Qunu4x3q7npivZYDnQ6YyjiOZNJdIV8Vu9BtwYARVt4V2MVk7RnKnqYcUC8r+Nk
bNOpq70D6XWXKlPrLDIY1fH7yD7QumrTZBb0ADmfyHDdNi3DAjW4vImoGs4gGvq01OLdsupba7oc
Q6kPeVFPjtqgC4YmtgH8H50JE7mYmiQvC/15CsmST3VvMjUPdTbQ1t2IoSh2y+jndvb/LL2oQitq
vB3qPJgWiLMOYaeLtC2CA/Dt9kPi5npn+qbKV8l20g63Q+PYDgD1+DIEI91LrmJUx344UhVhfUVM
ijvF8rGNE7C/U3XPi7LLFSHrsW+CBISQg1Cj72dga/Xt4BI/06ZZd6AxSDpBvwlUsqc4F0KaF5UX
pguO4nSGivrcVPymJAmmXqruE1+hsxb8kEAchDkDfKwMADqBd84YLfw8EP7Bq2qShaV7CsfZZfO4
fYi+GfNxoiLHlFdkQ+hFOxlPn5RJcmqtOvctqa76AdoYGthdt/K9V8l+H666zacm8tIq5DwFuXVM
RHIeXedncRP0abUK78nRqkupDyW2QV8CWaW1+4AVCVTsyp2Crqwfed2vJ0PiOYd8Re+NJeE+MJ7L
jfVZ3oKjTcMYUN0UMfBGEdslIHN627Mr7cUn1wqVQZmo88kMS0plcSjpxCGC7HUucfg3tX7sTPQU
2/W6DhaeFnPE9l5b+Tvir+WB9+plDeuPtR7Zoe7EkC310u78pPbOmKG+sHXDleYkzLEnHqHQT6MF
WyIeindJV4O4KBqH+giwuSnASMVkzZiRPmpQeNJBTT464JWA/M0VNOifVsfszpZxv6ur2h3DFtD2
urbATyX2QtXWOudFz47lyibItZ0FhI3/15DhD8+MamPwRB61BoK+zmlA43iCHSyw+6hWw17Q+v0Q
RMVN65dqT+NPG858tgXXWQiF6aNkRBnwhiXLofuq7tXcgMkBCIvKWrpDXyXDo7/xgggWbu5XHrMc
EqUbMw5yH9fNsgtEGe3XZlI5em++ay14lRGOg7sqGtadj1q2IyYusylsgrwcab0prKMTCQaRVUU8
H4OgOI3hHFwZz59yLyj791NIcRdjaMADVvMsKgBvh4vSKTqvKjNh7b8HIuino0civLl63cg/niXT
SlJwOO1D41F3J/rJPxNILMMUsW8lxJleU+6iPl5yO6oom2Tb7CjkF3tc6nTNvRZMU+RdY3KWh66J
Lh5rPlVzVGZ1G8vTrNEmTPHs5XzF/QQHC6oVAr+0ov5XK8o4h+IuPPfzGqR1ND74cXWa2jk6xytw
XMwZ95Go9W7xabcr0SGk6yKjnDELQbhO/gTrdF9BJy7IdCendkz9uiIHtIhfFFvdXg7r1TDy62rB
zxveHpbIuRS6mBZ4ozdkajB97sQMPweHfo6w6kWDA0HHvT6YLrBHvoniZMO9FF3PmBE/drsAlEI+
tBpbqoiGGxfw/aSCl0TTPo2rmmazMhD+B2WRKZ7sJuj3IJqsD5bpL7ORS8pXJy7hUNODLwk5i1g2
+1oG865xvUnd2PQgAFR8LKl/28ngYxSZ67pg9cmE9ileDE95BWBCOhqdJr9qH5Nk/iDFsAAo5V8i
yDuyWVRjthTyMSDTFWfjcOnj4Fx1g0rDrpM3kkdp6w93sgRBIWgZZ0Lrr8MwQQCXMLAz69QdGJsq
0Jmu3ulllNdOLsOB2SEGdyOSowQSb2j5MXFx8uiYO3ayJVdrVE/7OXB6P8Zyzm2MFdt1fdQzq+5M
E13XBEXIesJiqkvwPpNC7gcoh1NfhQ89JAh5NOrqymlzKga0qjOYGHR7U5BKiOtB6unoWTb2j0VM
05E7/hl6jxmstiz3UzAuB9tab1+0Isy4moHeyvnOL3iJIZFtF77c9GizszEM+kyJ+65eu90SVXuA
bkuKA02eSOl9mJK+RmdoP9OqD3AWTtMpntcBZ0017JwQ0RHnb3UuwZ0eCg+n3BJ7YTYNsUphcqCH
aqXhvuAL3QegHzLLenIoeP1hmavwtHrxoxvNlWn0kPZe8ZV6PT/LVoq9xyV63z4i+7Dj8Y4w5Z/j
3g/SjqGSrzhV9wMULvkSu5W2n2SEce89q0YB6LyIPZ1guFu8ivWZHXXcLU8jqHCOV1FjEJOpxu5T
8a0ATreArS+DZnvJulqFhh510FUzyfhmRXhPp6WlETQZbgDlANKvw+ndpPrbPNRusxFlim9z0rep
afg2Q9XfJqr2rwGr/TZv/a+9/s/fOfA33gRoZjMt/aa9RkzW8UX1cO0OX77bZjfA6a+/+Vd/zX3k
P8PUFUHIGAA3+q6NDGC85UBXwYXQN711+H8UMDi0FOj/tsxvaJD+RpuiTbgGGJ+jG0Zz/d9oI39B
ejnHL4ogDdoYGT9CD/+jNpJ5kS10zNdj04ZlRtcIhHhUPP1wU/6BffgF3N8WSaA92uSh+NcbmdPY
wdmEYLj1ODWBTi03a17CLZD1DRt3v1/q50kBTA6WQmotQASYy9BYvlkKRjKr6wKeQTtXY1rJqrkK
Aoo+E9KnVOKrIo6KwORl15ClCTjZf1n+l9sZExCkmFcQKo2H9laEF8g1Dpco0Me6XR4hWv4QVyb/
/SfcUPGfuLNtiTCB9cPHc4Nn8+cnNgyem3xB9BEzwaMN6ZNJSJdNAZAsf9Vffr/YaxLM2+VY4ANk
jBCrCLPBGzEcWFwW2QQ+MbZQfS4aRTAZJZ46N6FQZzmz9+yV4mXf6F6Ksw2DSAIaWL1SwqYTVcqD
giQgbuLmNC0c9PHczYnO7CutDFQFhS3QBHSzAvE81EkADELRT0GNw34249eWbR6WYfSDJ2eSPvNc
gkauQSd0KeHSymnZ0By8nX1ytRiuq6hYAJUEfChzphP1GIWy+FA53gHEHOg7UXThbTi2zX0UenU6
M5TMqRiLyzS3JC1UgtES7HQa+qHez9O6npq4uJlqb95Tpb4yLu+7iv0ZrfG7cehUtrAYw4ZvPxYo
T1iijnZeiN+p4FTMmx5OgkZvoqGW5KGply9DmegTr8vbHspklP9u2LFATbulW6KLtbTJEi8S56Cg
T9wj4lyX6C204ZhM5vkLhYQKeiVT5Y7U9WVNdAEDD5PZhNHRT+Yi59ARpHYR83GtpNjVvi1vWoNy
WULUJGK3XIWFHzU7iPJH+AYWVySnMa4nu686njxqDnFqGYcYnuOKX/d+XftXbU8EHIN2GKL3rOXe
h7KZh1sAyvg9sbXBY0ea+UoO1XRE8J1JK5AjCk81LK+E0kAApR/uglY3e4VWK9VK13e661yGkYXs
ZjcF+7mS/hODHWHTEdjMK6tgep4qX5Mi8x259lZePFalhnqiAt8tIsXyEnW2SZeKJKjyg7iGPW94
16/tcIdO81okjj7rNR4f2USb4wah3hBLo6NqsRf0ijZkGlt7aBV9LpshdJD7TMW+5tSCGKqSdz5o
/QPotuFmLbzubtP5BGZyN4Xteg3PsPT3w1LrZ6DZBXRaUQ+RgQ2rw5Cw6aoS2yi7ltFdxc1eCNiE
4OiAUy4hxccafpIT/toHOxcQAgqd235517vmPax+m1UaEANT7Xw1GnQFVYmOeZ6K5Z0nFnIIaOUf
iQ/+2KmRncLeADfv4L5O/SLsbpVD3cCODiJMZ6Lw31Gh3YvxMN9KvDTXc1ED2SiiANRngvZPehDi
1apt9o2AG0j7GqsB3O7wvngezdCXi73oS3e2Xiye42ZsMxFDYVkIsVxZqBsAp0xLFiVeCZ2aL/Du
Ky+FqBwmKTHBDxM2SUojuZxXOMKubULjvdhUcV3X1Zlq8PVBES9fqKAfErI60Gmjfw9frX8MZvqR
47l6sSwems5ncKLgTtNqPY+sm9B2N0O6Mm/MxTLDuBkTGE7W+sYzun9XayHzVq+fMcCZOC19APox
bKMn4RXTjnj+O+vgwLVdcay9CRNf0i+HFRKfrBCRfj8Qj8MzZBYv76HeQ7fb0RczS+hSyz7aGbuH
JJE+hmGfZC1phvbU8tncTV5PXzav/alSCyYOUsrMvgKk5YQnFLJ+vQjZjGhzRe/ed5iEr3EgrSdi
kyUFQvo8dIuBbjbeZiDRZbIXQW788rqI4VFGAUjV7IMjKQo4DKUi7cWo+CTn4D2aeT8NBGmzIh7A
ksRevq4egKTGi28K0XwRNoGcUpsdnwL2Mvms/1RPdL7tmVEJhIh493AkRLeVq+01DLjyBK0pEKEY
cHe3rMsfnV1oim4IKwNncC6TEV6g1Gtt/RW4g/xAoAl6hHiXvaNrHeVUYuQgUtUm7UJJDxwzxS5q
sb+IjexnpZx32+iNWDItoAZeP4WQmh1dUnUy04MEOs8sy2qG00PGWh6mlbNrSUG/pLRf51tlYu9I
0NlkWvM/OaEFQEAI6HItwvoU1zHfkA9yaMNK7YaAuYzPrjoGDQt2JErK41TB+tTZCab3MQxvo4pA
hOAVxcd4A80rd5DwX+VmLu17gpMLo34S73GT5CONC0BSEFjJ1Bub4AF+wF0EycyH0TXso8VEfomG
aP1gWppDc7pUad0Pw2Ui/bhvFKa20fEaDBzUfDLCJgOa8LVtTJAKPTT7qBDmBNnVcpprijPjmzpq
/KaVCjbd1Gup/x+G/q8YOnjWH7qiX0jlvxNtf5wMXv/S9/4eX4sE8QrwcYidIZzYuOHvPT7CWwCP
swiKe7g0WYSG9Tt+HiLjFWmiwNCxLeOIo1f93uP7/4cQUgTDEYrWa/tKs/+mx8fqP7dwYQSFQ0gp
+hV04W87RjJHevb9ojvNsddUWdMW4S0dlv6ySpjlf7g1/9Dq/9KdYi3kkfgbV4DYobfaldn4MKnH
pD1xupDLOjtywQGTPDncgWut1+RfGu5tPvmpG4arDGHgAffBW6BsvO2GPXR5fexjPQXRcrqAqRWw
1kNFOlqYEUCkR3RHLZSQwByCx99/2F9kY2BN4PTCC4+nh6+XeTM8ac83tgORdlqhGvyspILdQZI5
vnZkRRqDWJMnqEf/7SP/wy2GBxMSBcgNsNe2bfPjyDaasR6WmKsTxGr2rsGB+nluFSTtSTUgQcN3
//WCGER9sDxYETMHsqJ+XrD2PduDIk5wLIruisc9GrRyTHYqpt5HKubo+fe39VXg8NNDhSFwm20w
/uLmIl705wWdAbxdCDsfp85qqMcjYYLbddU+VE8Lg6rLTRW5xLDbIVGjIfd6DtunFlDckpVRs0Kk
zA2/H12AiIFhDqcZMoXSXKO+2j9cEP/LLgAn8HYT8hBmfLz7mJTAeL2VD7YqgUhUjdMxBFvLHj2I
aMWVKRA6sy866NGULshyJl3pJJyzY0ge8Q66ey+B4i/wS7AtkJTRk3J9+FJQg9gXWN+wl4yAklqt
Mbkg6waq1xkOWLVrh5lcVODjPugmXEk+BQZCOW+ognRxwRrv+9CSizdwb9hN3Id2y3P2HpYPoLYV
SmO6DnMXfopnCik70G877+AcCOqrgYb2LsIpEeUVVLPJsYZN6EMtodm/10MwYMsBGqZtyo2DJgzq
zJKQL9ilttrEtVVtb8DEzeydbd1yDSQfdt4orAHzJYwBbd4OgsEpvKd2NvbOW2A/SoDJxZkVun+e
6qB/XgefnqK5GTEeQlL/HCsKPBECV5UlesXxZf062dVkCF/iwbf33SAJgmFm0T/TcrT3nvbIYzjC
lVOtVfgCfV2Avswl9jnqxmDKIkY6gzsb2vuJDfikACEwd0qDBZO2Ek9B3TRDPsULZPoT7mO8zrhv
AyOPU4KHtkKH/7ToNXyJgJ3cVwU0AZouId1D4D3GWWI9+HJezRrf9moJOGLKSnQs003VWPNZ1rDk
QQmMDxu4uTcHs8xyzbzBNeU54aJSp0Z7Wo0pvpwinnYjC8oP5bwkT3GP8zQfmwlGLOUY9sncRuyl
M3H/XBY9Xn4NK0oCT9VTj5YLzXdbYWfYBlYBhpHlavAdHj9F/sndNLl+yecowC3F290/W1tD7Vt0
zbrNvAMeUlISeoL/BmLJpd8+66YNTuMCxoDX+w9KIMzoFLNd2XCeo18tTabbxL+8/gw0TG2mnF/j
3FjLo4fP+q7k45wvRZLsJ22wgcvt9YjGBh5JY2ohrgjGhz6bzTLljbZxcr8FCMEdMMag4tIRgSj1
ZcTM14dprJrAPvQRUPUCDk4roKSofZcKaCRoimAo4p8WxCJAJ14ory3PxoyVd4CpvV5yXXhO3CMe
AOkuZYcWHhkf0yiuA+SXPAPBWj7PztMzGDWzVneLQ4rQB4Pbj/mmbeeDCcp2SVe/gcUHVEvW+Q2c
VuEc4j6bx56KcmeRaZGKNnH7hKKVLbU9AUFh+z6u6SWMt9llXo6YUC1Gsc4+RmrqsrIHWhIFnruw
sIkyw0vyh/EDnWP4itLRWXLrReV4v5QaQyKw5vAjlEcJw/4yC82KpLJXM/fmI4u7AqCGH3SYCbv1
Eg9T8VkbHJuRqvi5rcro0vuw9qfTytw1tCIKD9xuWtMVmstD26/j5wTDNlIYPDi4cmzu5MzEaNsc
9kiTYA7j4om2ZmyhCmHvx7KAmW7QLy2iAi41pn121AvFkQ3HLzbd4G/EjmtC87kk+I8U57K9R5nD
Xg4E9JTHyBOo0utQHZwZ++eQjMmTciXmMl7EKkzDebb3qy3Fky3RW/QM1jewYlDfz83yYru4eKrD
CAdmFzSPtefXH2Ctw4uVOESNCd9Uh4pTCk1L4pewaoGGQRntgA1BXlfVbW7wMYo9COk4PIdy9ZMP
q+nJR4XkgvW0lmyKT2DwV7pkpMfsRwcyNOcooPTTWsxhtBva5iyTXlwvXl/cDaYuTwWIGl6W+kmO
w4tTdjv9K/KEWQt+mwn3CeMYzvmwJ9U56frg4+QJzNGyXPybPln4Ayb4hufVvJzgCvDmnC6aZHgv
+RUT3RDDJBa0t3YK7LRfWfCkQM/mnTXQ88AlseTMBZqDoGXhDDBKtBcAN+yTJBQ/36NiDe/hxwrE
pyReKujadC+6/YokD5kGRTPBtWMa71rJasKtUwIOkjEs/nA87o4Va+NbDr4sr/GRDpz0Q5O5QJjn
zsboRfoxjK/p5iVryIzHqpNk2CFghOGwYLIYLkNs3MnROr541qEsKACHuQd+5TNo4+Q6BGUSQa21
YtPoCTvFFH6cF6CxsJWmAmkg0CKQC/SaOEt1FOBMrxP8njnA1UQjHGrwdVKaSZngHFRTjWviQL7S
qmf4H2XTYgtaCq1uJPtKQUHY4Lwf5uHoyhnnIGS+xhzA4MfXQHm8rEZiAARuKCYKiq7Y3vUUy0fh
gpH01UgHIQ6U5GJlL6urceC/HoEcE/+w4xBZYOvD0VLejUsbQ0DSL+x6mSYf83AIrfkweuZzSyFn
hyBiy+gKVh2+QM9i70yFLLZchZWEvUZ3soTREVb9c+UoiQ7fLou04SAPuqzRSQjPQ/niMPBeaQnb
E5A1ezfO6H1VDNshWWXrzsESgIlPJ6eYvYF1JaCZPyTd8xLovrwNwhlXXaken3WZVyzZQkPB75nu
pUG1iIC8AEyHMKWRQCj8mfOssCw6T80mh6l06B6E14XP0KDhYHWDV18v/WCrtJFTbVAySPG48BXg
X+fL6JqtNDY4Fzl5kJ3nn/up9L6Og04O5bTAqIZrRpdT4fudnwK7YFvEiOKaMp2MMGUOm5a/2OwN
+4GzZsWVVNsd1bB2pjJ0KOtTH4comAOOqgexPdG6pnhMk9pco3DOXDyyZTWNwaYSBULbexWwhlD4
T7DqI7cO9wmt5UNEK296mCMroz6rlrIo43sAJkmEUtUnCChCadSu2rum8goCqRC6ZYg/ljFMQeTY
e+l3IbK/mGgyIVWVj4uEfCZywUF5CXoQHpT+uWFDeaFqnDPoJd0O/wAYhFj5LOu1B4ha6vsOyv9T
M5feH9ZLqrM3AuydEZ6QMRerI0A/RHFZ7u3ltLxiJlHe+ltoGU+uYB8TmVb0XRHjSKdDMe2JXxBE
0RCVwt2oT908FiB/JblvGY4Y4LTjgPizAa6bBh0JxI7NV9Cd4T6eO3FM1k5V6ahh4sEbuCBioP3a
DtDKS6jnLVtO2NdoDCbt3yZj79+Gys357CtIppw6AnPREAsV4sEiG2Ffo4jmtS6XnWXslvkju0FG
WPsOTxt1ubXyjMqnAIoiOIZ7dMxiFe2KRN5MDTMQRpbu1nd98b73ogkQWkAvHSIxugwKIjSQiEOS
iQTOON9RRe7R+bU7eI/9r2EkwjOlYMvhVAyS2m/Tli8MaVpevX6ByBIPhE14hfdgt5YyV5MvOzTa
3gweAhUY+oFp3k6QcsNfUa9wGo51dzXpwDtF1On+xjQSm1SVOG0g4cCOXGHVFqmwsjR3rlnqKpvR
dv/LKL5NST9NUZuUFqknABagSv+FKIJEvE5Q8ZDLAPUqmv7ZgtYetsb39+PaL9NPjOgJABUkxNjP
MLj9PK1BiDtOdTf2R9lGOIwnOD0etRk8mTJLuquIbaPL63H4+3V/Gf2xLixkISIvKGOYFH9eFyO5
pHWHyBBbywgWJgReKGOl3S+IvBp2nWrdPfQ0OIv1vHW5v1/9F6IRq0OdzyCNjHARb80rztRAT0jU
IftQYABZ4yF4jLdTt+YGp/1Y9PjT7weMJVvnHbAYh/vrJfwPsfsXxA7sJ57Gf2blf/xO5L8hu29/
6y/EjhBExeNby8LNhIcAw+0rGL4rXgP2f0CTgcoxxBsifAjg4HfELgBiBwJ7i8qGl/8V3foLsaPg
8mGrA0f6F5n/Xyleycaq/vDuAqeLkJYeYQ8jzZ4FbIP0fjBIjisFv4S259IuCOFAehg2T0dr3sBI
vczvIi90ZwRIQhjmw4j6PELo/x6nINRaJmn1hx/u3j9gem/xmO1qGCJ5OPJdENSEAvLz1TBo5Zuk
nOZLoFsCg/8KN/nEOyjO7Dx2STovbHrmENmCo1Uxzjddb/OjWA1nGcjy9nMCQucWv6Oc8kBK8n4N
vRiqsSgUX4jziN3//opfU4ne3D8GPw7eUEglfIgk3lxxxaFfh8/kQi2IuTyyq3w/A8ej+5G7Lkxn
TFJ1XnGB6AkeuQqDiU8PENdivgY4Mn4urTEENbgPc/S3HXwPoFbmlA9hU+yKri7vmik5Q2lamnzz
uT6ZUl81SFiw8LZ70U01oI08/P5TvTlo8Rggg0aZBpSMvUFfP/QPm4IDc8FoIc0FqCaoswJCgZTB
o9OnfYsmb7FD8tALIv/4/bJv4GPM1zixEdSFGCN/+2O7rB+WhV2iYL0pMDzEgFXhuZwurRmyKhbl
0+9XenOiv64E/AxQ7hbQBET155V6eO1WPZTdBQos9oJoD3S1YoxdkMI9sfP1hGmO+i7usppCZ/lv
m+at7wqfMoDMPWAAOiOcDm+Wx1cYVGUBJPXCgau9gKAJXxp81ZU8hKsyO6jAOpiJ8OgPi9RLkOqm
419GmZgTwgPYtY0oTDF0qbsmq3mr3tOhDyh4dOe+9GgWciDjisNG1LHhiDD4dfpWDhAbh+Tyf3pN
f31QiM/EsYEArQBfuMC2kvXDg/KjKWzDUMBRPgn1Ug0jIALigaxlKXWuLc4IXGg+YSbtr+2qy33U
MVsh3mHmX0e+rl3mEIiasa6ev1QD5Z/nsC/5vzlLf0nuReIbPN8cQUQ4W/F20p+vMhriyh8gsL2p
MU+IJM7HpFwPdrQUlq55QrqQ1f47aKzDKS3LkmcDaYG3DP1Bsh4JJEgyvu9lCLc8l0vxYamRvQnA
YEz7UPfvoQaIkSTQwk/T1UjuqKDkXWB+M+1l6T1zq70Vbk2oUQCYrgIDTjCX6hhGULUGdXFXuBa2
KDlxfRmFfhwD5VG0jMguJxVcO/mApB34X5a4vpZlGD8Lf2LnMorJ9VpYJB4ufskUvlHUVScvBtSZ
Li5ec7KEIGJr+yd4+vFh8j2oIxc18r0wejoxEQSPuiRLcxCQe1TpWjYYyak/zGnVau/jpLiC0NQE
p6Zr+xPRifxczX2E956q5gGQruXprFlxHsQwZQ734UDAltxqJCnt2DLoPSGWzDsZckgpZnj7dDYH
pdgpQwF1wnKPjFDo7AnpxiNKTbBkLUJr0njk8g+r/BIhWEn/AKtPeJjA8gZ7E6n1JY4gXDG+rdc9
1NjF3rPWfwmgePxqir4PszUYgdnBgTAXe4uWGC/HsuxcMU/xfujENslSdQRuvwmfGUSWEeKfeFqb
GkkkXEDwzrvQQp45SpFR5E6qwwC1CaIDnP9ugW4ODvbBx1SOnTTu6bgk5mCBJ12DA1ileDctelSw
c1XStcPnUpRBsD6DzbdIlEyTAUd592fgVD1SOObGaer9y9iMqrHnpNLrYU4ACJ7UUKF3rwPZPfiY
Ok61o+goJzwDkTrEX1g8LhXHeQuNapmNslk0UmeXws8GORJxW2rQf92xcRyzAyzkyXgdmZFiRy2i
I1tECWrhPvLKWtzOeHVgFoZ9KsaGo41Re8CYQ5JKiHkTsYOmLco8kZAkTJ3wW5Z1RgCsKBNYxveL
5GAHjEBXsN/U+WsWr8CxshZc95SpcuvIZ+MKA0zBU2rXFVX81YNhq/JzvwvGQ4WsivgSQjEizi3l
Iw/rrLVGr+5ofJxu5a4vSq52wszAiJGf0WLYlciPOAKfV30WBg6AP7ehk4eh0sB+8FiDD16vML5D
hNioHP/43i1gWg/oA6xuH4A5J+pEh2SUMFyO0f06jZTua68LyFW5lJCQb7LZcjyIYUZUPIoxPdfF
GuCLA3pcwa4bJcK4Y2JX5I3WwLRvVIygsZ2HV2XIBSHTGbRGKPNC0GJCTvqMxwk9DvqTdvtygS+y
AYGRw9cjVU6dKvWJ+BU7FhUHABs0jUbCe1eJfJ0EkpK8BQkVd7VYapbRStcrorjr1bvC7Mf2pBcF
hv0y4f2OuBIRWmVFFng+E1ZC2YGfg8GuSlpsn4KC3wA8tsLaX3kfh9Z1UK1XeI+CC1lbcBfILWEe
fYQGPJguUZ8gMwT+wvEmnFqUpMIgrsSD1gxhD3tRwez3vBIJkFs7hREIZoK1uiJjAeVTHYAGsQII
R0ywefdTazndmQgx0QDGyAaCUIT8ZvEidvD862e5LOgs6qKeH0wYLZ/6oaTHmcMnD54oxBDZwvJA
96Hsart/ZaOQl0TZu1dmi4wefmKJPCRtjcQB3f1/9s5rOW4dW8NPxCnmcNtR3crBsrVvWLJlgzkH
gE9/PrT32WPJOlbNXJ+aKpe3xxZJEAQW1p8mvI/Ss07a9gxBRgDlnVo5ldnqyZllbU8XrOckLJUL
gGK2M+8mmSturEbXaZ2zg0WPQL/M7pJVstsg6pf1Yeij2CZOYszzOzusIhcRbQbIMshBF5/azB6P
WR/hz1xy6bpe6AtJuxyWvZkH+uE1kDazPnFfTWnRcq94irH1GKokBwhZR/nEp9MUIk9vqy7gk+9G
qoKfIIllD1Vy3Vqu6hAxN4nJ6547OV6WIEAQ4HB5lzusiExnC5+NhhX/3bc0SS0WEBlZuk4eqhKI
2ImO4ZSmWNXg8MK8UMJ/hg3ObcgO2a4zSLM/p/8JRFc3VZ7dh+wWABGmddVGon3C6gDf/8SFMHek
DR6N5zE2p9NGdUELShEoZ9/YDOvaDFqFXjj3buTYm/VZa6op/zz7pejPytgofyjcj1lD0pamH+cA
nA1SWyU05zAI/2zgcAd7rxHtCqeYdqu6OblLa4j1UZln3sazOxsZVuG5bEeJTVMXxqTYouXiM4GG
RLKFC2Gw/V6yIKsjrq18G7NesbeZB21gJ6dl2rLJzO251Y02OuoIVzd2WmcyKb3b7C/sz6IHQ1Gm
H5do6KyXoa9Uj8OUFUyHdLb5UbK0EoRMs/DFoeG1zOjYI6Q/9TQNl1IFBfZj5CeEAZTWUk74MUHY
Hde5afXLvinyur6sfOleGIOJ4Dtpq3I6FwqHtnXo9WXyQCVCjxqoEKVEkPbTKk9wR19F8xS27AKq
vS9Ea6XaQtkJp9VCBaY+NYOD/xygDY2JJDBycTTiZv6aCBOD8yKA4ndI4d7eyh5f130HOJai/R2Z
pKk9ZM6NRDbuXZV+g/N020ymf+laiSvXNNDnfjsnwH1bXNKAYTtEyawdfV9sYTrKbjMVdtjtgS2Z
/bihiwD5jTL7dYyksv08ewr/sUTzudjpNG6IK9BNhfkcC6zdRNkuLBN/XsnxyQ7HGTFknk/BJ/rg
IEOzJ2jSuXERTndt3NPhV4IZvW2wdG53HByUvEidIa8vgq5JnBtb0u49YLMY8VxSGuIy7wzd3e5j
1gyqsXG4JJGE++9wANlhKp4nm1ma5gEdIt+98n0tUUIIfXk6ePx/J+WDToqj1bS/nNF+4z79GuD1
71bK3//sn16K/y+ISvTh/jbU4ID4Sy8FP1/H1pz1f7dRtHAYloQmk/hvxA3ev3DUtLRfrh1gb8Hd
/a/D9d8noD8mG3GU+HcXAE8O+DEo1lFdWPR5fuPnLLgVjUY/+qSSFJRDVSrH2w6k31/Jue3/+mVg
3jl+vT68ni7GiQavU+yvOYV5b2g5wpNuESSDe5sQivRUubWN5miKHvN0ALLwMaR8Epx8n6Mp687+
i0vrcDDNQ0LC/aYDmxq5JYfacm8XwlyeqqhjrZnUzGIYEHwDT1Gyn/dmB8zTxzrO4M+X1z/+9TAH
NqJxHLSw7H5H9OCkosJswbktSs0vC42Jrc0cxqVB/6YvJymQSVT+p6P3zmifog1+uyhTxbUwDgJC
fjPcVYNplmgi+5alyH6oAJIPdumz7AR2xDKm4Uc3dbj4aI1dv6dHPbz4DSBwYYDZrlsf46cmEJk8
642OymZZgO7gJLFDx95kWufYOdIMSrUz6QocGJmcLCoQxT8/x+uejp41gfY/glRl0z7HXur1aTic
Q4TFFLi31mgwV0ZCp2Qx5nIXQlp9KFJVn+Mm2r/8+aqvm9d/XzXi86BdyYWjNxPGN0zs/L3Ous00
OEuuTLpvgyr5YWayvT2R12ApW1dewNH8J6Tx5+u/7lScru9QPNCuQIcJw/HNy5uiqMrbXFo0MjWv
RH8wKDrgr0yt9UFSkKW7Nm8mimPhJI/CiQv+5qYVK5x4TXO0bt00gh7UJByPptQCEaGI7V9k7rrP
bKj66zQ5S4H08bEYWSBvTv7A//mDY9nOaonpvfPbrLVdjNbwDTZvx6HlI3GDuKgv7KGktZhWefRf
fCQByx7fJf8L6Gy9nl1Wk5mp4Uz2LdgnR1SVUHGfiEAnWliJxeHBmfD3xbaAWU4MHMSyKZJijQMJ
xh8WWs1zw4d2IVrsOLc5bg8XQz4BI2syGe63FAGVyvjKvLCS8zHCk6X4oC13QlLevMBA9wRNCx0c
XcE3n0hWiHgMVWTdYsIMo24JQLVP80YOZfN08jstwpl1TzGAJ5BbpAsH0V6Rc9Wc6GZp7oLTL/MC
iG5BBXk5Ucf+/GrfWQVpbWHybqI8A1h4c5sGWOXkx6516y0BA3IaZlgRzZOFWusBLP6jma130Fcz
G8MOZjVCQKA3M8Rh5vXbLQdhZ0ga+tsZMsK5N5Tec4xjOb84UBxG05E3nePDJojTmLrTnLKEtKBZ
RffpmFO+4iIxvDg19LbMZAUwDT6ClLyGC/g99flpiHp2DZ/el+ZTTAFG0LRNL7CQdg92wAMtaqzP
/zyMPMHbx+JJeM8OM5c2pv+W/bmEeRS0qRK3yKYVGhu1dJssMLLr1inUcFZNcOHosE7ZsLE9GCNr
HEHjZBfhs62tXk3HXCuJJMPOEHibus02Id4ZzhK/Hy2EGkI5qGK8eNmYzhIB0iWzAWhcimFjBrje
rmahNJoekUmzoVvNl5HBR9uyBdByyzPQXzdsqtuxGpLzsC+zC7sM66spw2Z3E9YdPa/GLowvHH7z
a6tWxTcz73Ffpg7A0FItS8P9TcmL8mrlHweVVJuUMyvO05FXOhhFZM1NayYQHmUSocd06x5WAoBG
y4EjMJrHEXPReePEQXAfRS2KDxSPpK+QOtRC8/FEBxUY8IPUxcEOv7ZGAcGyKvshP1vkMtC4HmE+
Hmy4CsYhhtZ8YYtRgwhTfDRp296rebLGdeBOors1dJ8N3stQeSjQ7DyhkURz7wbz0KLjFEvg0ibM
4CaKZGTbzZkjgRo5f/s1POQWEpLYnozkA4yDuDuods89EWvp+oQmUAKyENPLhOCTKv6ZCnqOnjGW
qKTH0FNZgdMUwQUsqHxkZ7YSK2zWS4VXaHME2M8Utip1e2HIKLQwdqnLJF81qQwPrkiTKzisw7cQ
e+l6JWBX7E1C9TYRJqJXKEG6XRehxW7r5mk2zeUL9g/p0Z5CuQEBtL+qoSYMJ9XdCShSOxtI7q8y
6r0vtYOVSeuT7cNEkd/FGGcDTUBRbcyR17NO4qHadwLkqORUumZilaZDQ6KSMlwpw0CDBMDk0hdc
IxUTzYPhIa/B2Svsc/dYVUVUPgQTaUkREwAX6GBD/xfmPvQ/4EfEYNBBYqJ3VhY0Hq9Z525qkOeY
KkP55SbMraj5QvYV5lBllGeVpg2pEsmKZsBxioQym+eMdEUa57kpQoohVnDglnDWbSG8yNWqxBTk
E2RA3hh5EWwKStGzmALNpYqIBtqnilm5SiD65zsXtyxnHVlB80RPkDfrWwsvNYXmujZxWsNagQMq
feCeV0/W21OXuuJ2DMJlWC8K/mrszRhApCb1KgRPVqMS7u2JPT/bdv/Sw707+CO8HcNlHQrcEup5
x1l61fKFhuuydPjxqvW4OU4c0J0DET+OmlCRk893nlc5/XXT03+pLqKLYZhYn1nOYtRTblQK+t7E
e67EApl/RXvQusJOjj9YAppAu9BjcDqbnRr6qcPf6BIruxqrliXmxA/7SboNanlngyPAfzJYUU9r
JDVceBF7bKJBRl5FXIe4QiJJxGtX84l7DOzoLum7LccRoi70UHlTU3Yi3vNSddOeapG8oDl+XSGn
PROCjtW48EYml8pQ2bP1MFmIKmybPtGYctxwisx+yGKb7XlAUbg5MS6VzdijHOKh+CS5Uo6e8CWl
u36X6d+Be9KxEhnVp5lPMKsLHcKiy6NGc8hOTaYsp9e4loT33Z0KhQXZFoJAzb2wJfU99mG8Wq3w
kKSqvrgOCXjrE+OyRihxZSZ80n4dm1dk1NERYBrx7mx9t1UN+TvtoRWfaNlmZlKE13UbbT0rb57i
sWA3V7kNnT3GP+nZ7xfaFVONjfIBogl3PvFvplVdzzQcWqMD1jkVOKMuVfIlG15+Hn5OTAyVRbrl
6REBsXaNvIVe2vije0knhOCB0nOfcSahw8q2ww02NvDGioiAOcNhyoq/FkbCxavTJ2QhMZO7SXa6
DGLnGWCU3obuDMc76nlHDVEGNv61L5Gw2IAr12Ntq/VRJU/wNbaURWFAZ/3g86YBVZ3gwOPU585k
+JisjDinYJrH3U5j2p3NMzvuoKenVxXWlYmIEz87VzMMs4ly1aX9PV42szCSsxJAhyrNr5i1Y4J/
/BY6CzcTe0xgGMOM2WCF0SOIQvCQ5QjrtkNrQmA88SkJw/Sek3JmTPFR5PlPi0BeOPJOpRWjUuQY
6vqaV4u6mg/O15fH8T5cZ/qrB/honjILXV2kyeKU++1ZGzu81dTGor5gI2ccZpQJJ8Y9zC1J85em
ZxcOfK80esstEW6Q8wX81Iuu67mT00x0SWrsz+eUJcCzqNG3Vof7BzVtK/qbSMa0csNav6CsdVma
7Dpuz8rOih7TYZHRauA42m8XH03tinYWNZA9i/Iejrr37GiTJNsIOQNEGccQ9yQacjRq4tjKmlas
89DfVRo1T75odPfWmtEv6CdkJ6JG7rVdb1dDYD4deBfAepryDp+o4IiasnSbq5kj7cPY8ocorXkt
uLoTwULrHbaU5gmdtk210ATfNAVwkxNq2sGCxPSishGEZqNNWN04cpLRo9ZhoRhtstkqlk2nbyfx
eYo8jd3nRgMp60qTzgoSU+7MReGUFTgLCEBfWFiz9ILlKIWbtv7JTkr6zkPcyZQHtctJm0hSrZ6a
p6A9U6lHi9GLyOy4k91cdetq1mxLozO9Z1fqlYW/jV2uNDm2FqOLhqE26i22D3NxLLFrLgmJS+z2
3jLtmSkS5wz0ojeXNDutfdJG8VwLSNi4ik5CH8kB/pZ1UjInTgPwcy3SB/cps1kX9MLaiYAd5zR3
YyHZ1uSAg5kMUvW1Yxu6Pc1P1x7jfUYjYD9VNBIvgzFkioTm2J1Bs5+OiVB47PycEOVchj8aXIim
NfhABwmwirbFSZkDaeDhNCtI1+CjyBHaXvlILPaWpsXghMgg5L2R1msCBqxqNXgVKxFJrKCZrU0T
ovM0DTnVD2TMJbMv7YgU6EBo+72iEOo2nD2hWLg8AlPOevASv543ViH4soK4ZYcJIDXv6oZJA+eO
1d5JrWs8RpZbTupMatOw6GUPM4v2aQXE3hXUrY4DBnuIDb19Dxmj5GAjTzOIDQifNeGoed0QfING
V3QTAaZGSC+XkAvuNhsHPjOn1ciRaNAR/RSeNBzV8I+EcS08wXOPagqZ3XjHGpvM7SQGV9RCy/1k
hak8GzBWSK6tPgMjOUEtP9UAXjhwBZHWzHbTItDsYfBGihBBx/7RnBstQ5D6eYNovnFHO7gfQ1le
246H4V0MtRz2/JlXtBoc4NsBN8p+oJ+qodIS3+L4HKlxmiCC0pFsj+hY2JFUOi/roRJDRIWi/Mc8
owHupYBzCJTnRe4Rgjs7swrVtBJtPaySSZaHtGmyS8ftLThBtVceONnLs8pqKgTQTVNdxjXa3UgW
1Au+TUoI4cPMsK63h3ArZT+Yx1Yv/scs1rgsPChqKnIOOcHgQnTQYOdDRacIqmIRz8a9yDAtWXdl
w69tZDFIBELIGzqA8yp0ZhYcoBWQgIkap9QlXZuE8g4XNyo82RogTTPfjD4ok23NwDiRBrPAMlBt
Q/O9iRe41LldUx/g3sGdytNmEies24uX1vn3+sQZzaMGrZVWTVhGFj/GYcwMOh0MhSmq5ogfO44H
3cCaVuPPGJ/TT+twG8NMO9WJFHMTwReTXgSTetBZNARh+E5OsDrTydkR08L+2WVsbmMpWK0WrdHU
6u31ad2MspzFEdUnCFpb8U0Uut7UpJGLEhpJuYkb2lczZk9PmODOq3pg3etaPqEBUv8+jY38CA8d
KbVemWG4sANxtkvObC9Jv7uTD6xGjg5f3Am0BHvDBPxnhdFC4DXYmcu8ClEZBosZHDiwyeGs53yz
Csex24N8jbsCcWrIWWXwns18sR7gytKy8yJWJfo8DEmQofNbxbHNSaL02Vh8/GkfEjrWm6UNnMNJ
rNctQi8Hp5LZM8sfUPIlGpWqNHdYrmBM5avB3nHl5CHpRvlJ6qycxFXppwYXv03PF8LqzGln2bEh
YiIY+KVpr5XbGDdQnYlIQYxahVunw9nCFp7xbWwc7yXDiu57QVVJ1LTsH2d7RqBIXWWfI3ExLyyK
sn1Bc+WLy+3CFInjAl+vFq+/bYs08+g5Mr1KAwShIvPTz2UziHsYOJNcj2B8m7z3zL0KPXUVOU38
iVCa/FvdKn6SV5ECTaVMlOjNUhmcWAtTzHhhDSbp1qB8f2tK/x/h+QDhsWgq0139p7X+G8Kzg8GW
vjz/al7197/5G94JzX/xI2A4w4Z1be2Y/w+8Ewb/AtvxoeOyLZEroXXvf1NlHQuMh5BF8AAaLjad
sX/E7fBrPRuOmrabgsmIK9R/gvG87hZ58L4dD8KeBfme35JX8LoJJoAHl7CpxzPbxsKHyjRiq0Mx
GV1g+RL1q8DrKmIfyJHaRMmHHPvXLTjPA8YKAbcYH9qrvwcltK1YommRw34eaTYFCkWClZJlo4K0
/ADkefdSkbYLABhj6PRA/MLu65xssqzSG/auRYVZ2BaWoSR2bOExtptfZsA74Mp7l2IoI1IWLV76
W0b/YqEYVa47sJlIilnA3A0C93w9yGA8/PlSr5GInwOILwE9U4dJ8Vt3Hv4w8X0eAxhRPULLteFZ
jP4PzDM2WApqXxnMCNsYzQyU0PoD8EW3v//dWf7fi+v0B2YxpKk3MAipy5jyNMOwN2qXLmcmk21l
ue0HXfjfRxNHUeDMMMQFQmMer19cL0Knn9p41KZAPo62NprJlSfbYNpmTUmF+OcRfY0o6YfyNDPd
JFcHZznw1deX8xA7OIk1jHuhfKqXvPtOsfID/UW5woflHHPPv3UI/yfx9Pdh9GyblFOMz4DjzLf+
EnGSZ8BY9bjPTM9bV5A2eFnRR9Zqr/vrP58LmJEDA2G+IAF6mH+Z/5xz2fzbfNw76UQguWFcCPic
9EpsJOHIQ//zUfz1am9eGnx4jpReMe7DacZqqqY9NKF/avBxxyYoGlZdnn/98yXfQJo/nxDfDJ8I
Ihi8YMivn1AluR/OM5+dlfgIoGq3eBTmGB/8egmxQmCfH9s73GtCqkS3f/EHMzxSh5+Noqv30xhN
W5zu51U3B803XMSMA801crziob1fOkX+E/6oVt4uHyxM1jvvX8cQmzpRAzTz7YwLe4H+cuAzQuLu
0p40CO9eSelNW8yjzFXaW+26wRtz4zB6W7uQ7l/mQsdgpJd7FaB1WItGRNcAhn8HpfyfM9N799ZY
n/UXjjPJWwCMAztcUK8Y4Bcn2gLY20DMlzAs/WHb0zP4JFMnW5uzHxWbuiCLQFakBEGqxEuqlERj
TMjBEFbgTaoqc+XA8NvEFSedisSoczHa3ZXtL8ZhycmhbKdh2MwBLdmWiMHHEXrf4zCF2IDDFOSY
ZwQ7cu3T1eR04RZri+OQd/1qNjA5GmIvWsnCOyfR7xM0m/4qd4EplLMga3QwhZ2N4bqO8GkkAIh+
jEv6kURDdmEmyvxsdKQyZRXnzNhTP3Ll3A3hQIhCIHSGUDJc85Or3Z9n6+/LDHY2FAZ89ezBv7mQ
yF54ozfrl94nVwbB9QgCzIOVyodxiZvtOJbWf/xJckW4Y3iuaNfMty6SUSenMFryYd/F8cHq8f+2
xLeoci+wQ0eqHPlf/vyEv6/bIQA3qlNYHRGlzxt4rRfRVPFuhn2mChpFWPsdcGOik2YTqfjnS/0+
TUMc2eCAAK+YMGH1///L2iZGb8pmZCf7KCTztTZa61DPVPH/xVUQrHEg4XTFGL6+CgG1RklcONud
35nIvYPIOIOJGt78+TJvEHe9jvE0SAJDqkUr+I0Jg/yV5LBGk7HR/20gOWc7X9JmxzsX6CzuA0oK
Jr6JWcqxCz9DGtzXIEIfLUtaSPB6d4dd4eBdE2orTlhArx+3bYnGSaegx0G5CLYo0IsdtN1h586Y
+q8dd3EPViWjbWfW34t6Du7yQftNeuZ0WS6Lc4QeHn/wBux37wkhCXC8E1GzvtlWhGsYRoxXw74S
Y3UwO28bmSMUTfJmr+K+wSckGJunAt7qumgNdT2Sorn2U9PGXaMiLKAqvheWnK5yUKplmf/Ck9Je
t+nQ3KuKpM1mSLExE8l8rFRxZZjDR8XF+w8QIfeEvADIrX1pf52psdVFpcIRe4/D+53oSLgZZ1d8
AkJl02+DbBNj3oMLtz+wY3XlERb0MyaSD5jaRIexieO1DLuJTIA6uq2XoH4I3eX74sXVkU5ntINc
SmponhnsFcTbwiJvPiiP3qarnWYnB5Z/nuDNV4CvNjdcKzputMOIAY2q4+DhaoFjxGZIOxb50Vdo
CsyDUyvM6hu3/GAWOO/OggjHXcTmtoWB1OtBpLXkzshb+n1mJEOjUx69r5RVN4HbV6siMl/qYpKf
kfUm3xBa0TwT66y2k03uAOBPot/ZJskRHY6t2vlyJunIHsEdueBeepgx4nBgfVeVZbFUBveBk289
M0NeYUSfcR/pzkhlMS8MzyrOlrp+Dibz3ldcSBC+u25QUXgfjPnvpVuIRhYfYyoE3/wtvsPDOS2n
ed7v26z4XMV7sPtiYyzYcNSL52z/vPy8s2yjduZgSF3PD/4tWrHI/apj0dk3pE1HqNTYtacMLTLI
1J+vpE9cbxYYrqQ1hi5iQ4zAXr9GMsbHJog9ZlInHnKcB7FK0sgnHVI8PVQOV9f0jfAY+8Czf770
O7svccw28lDUoVip6Fv7ZcMghImAIXCy/RioJyRyNzJo77AW+FEEw1eOvP4HG9TbxE791UA3wW/I
gq6G7dmbryaajF6mKVOWY3h1NzrUPYrcA1Ul09qZlu9Qwx/wDZEboRqKGzdE0t6LDkbF8sGjvzuZ
4I2ys5AbCP/i9aOn4zB5ycT3i3kLjI0mIGYEbc+KvrsgIOSjaNB3tmYfCI7XbHH25pD/+nI+PUhR
jpKXrDq5F40Vr5cxTD44I747vrDCXGaSJsW+Jb1kvSUgcDb9njNytw4nmRD+nEVrPw6Nw4xMay2Q
ImwMBVI300Re0w0otnIyzpcFO4o/z67fD+XoLzkVciiHUeC95VbOZGYuSZ9zM9Ngkj4cwMXulks1
KbEWpWWsm77EiTSAS1Lno/nBZ/U2q/Q016iGGGzqdjTab+baICYkEbg6gYm4ydcm6OBbzJ0YrrEv
8pDU+bXvr+uRH0CorvZ/weCQzFozI5WGRPggydezoebLKXGwxrCHAdqPJz4kUb6z0KD997HgMxHI
wkJ9PTMSI0yVV/nt3pdxtxuJC926PaA1tXz6wZC8cynY/+QiIZHVJN83n3sK6IkDbdDuhyXGf9pR
pHtXCfnohg+Z7c8v/91rMRNNX7fUflvVGu381IRuu/fstLuNcD7Y1Yo+dtYNdBH/aTS+02Z6ZxGj
2qUtQomIXPXtudFeYpHVI1cimURsYM0096SU2Vt2NzSWsnShPiXqg+Xj3cfjfA1H24dQ+Jb6KoRZ
ITj12j06HCA+D9ggzUriRUy7/+BSkffORk+lYeLiD2/RYcV6PUXCHItisVhMEbeDukgUyoBwOnHn
ZYPIqCrWPhDRxqcmxyHMmWZjx8lxlNsFhVZ5ixEVH1fq0GM8xL0qHu1mAjjHZyocQYcLIp8QqSbP
hJUal7mDPGUnkgJ2R0/uUbKqeCRnHfgERGyiySPHd0bgrc6JoI4g8HTBskWKTMC6yBPrwR9tVHqF
Kz17l1ml9LdO1CT2l2i20vK7n9EsEfDaTD85l0kHktyleZd86ovaUgdySCJvj9itJFHKbKxjuSDv
2PcQMPorr6zG8NIdRhXf+j0itR3/bcwoiWALydXoRnm1IXvdFZdhUHnBZsQIN9uNXlvcTwYMOOLM
jfoMty3gKyU6u8OZLn3EbNOBHgaKlh0C/N6bdTjW4G/Y7yixJV6v6i6yieMkhKSomYs9Rs5RvkHx
o+SmntBPnpcGwhP6DuBsm6b0dHGVhqH9HCDTIdELs7P1Erp1d994SNY03pOpmzkOpvsqdbthi0Nc
FNyZdUlgBwCoGDVcjyt0KKMUWpSALug2YlkAWrNoX3VsUdsi1u0/E5iJcI/eCz9lSYs/dFHW4LFu
MlmYBDfeWRmOt/R5dyMi7M8xfMIvhRGad0Plo2YuYa0bKiuAZaNrPMl3VdvvZBJUd3FAE9VNoOqi
Idzbbj5v8ign8mycjg6SgLXd9M9ZTh6VN9oxkWLS2UHrga1jzNsJKRX30AV7v5/NbeSm/t7F4mdF
xQwQDFZz3ruN/BoM4LXuqDKMcqbnpfW9s8lBpztJtcKn6hFrjS0E3fbGw21/a5lVepM7oK4k51jn
YVkkl87M++C0AA0Lx0VJdsveM6zbNIWjBa0hPsRQBNcyy0eKij5YF+wS5DkFyy0436EdSChNF+Xx
S36d012Ss9sdc1zoN1jytVtJ6tMqS+IJt4y8BP5MsFBLw5s4dO8Q58EamcNktyzdslbGMG5iGxOm
hdL1LhZF8xdEPPOiSgJsTrEa3Ehz6H74Rlth94OMP6RhvYcn6h06Yg5WAamhB8dM7UOPMdqWJsXR
xs8C1y5rl3vqS4kM8Au+kmeB58K7VV+QYpJeY2L13Y3xl9I3RMcXiIH3NAbVbjJapKae8ZBHYXzs
Yyfd+KIOt2bmkuCO7+TKzSLiMzg33KWdMd20ogvv+lGyLzr9xaDiYFVI1KPKqL73Lb6KoTOkZ2lf
orQuw+mH2w9ksgKC0+HKychYFEr5toLduKLS1EqIOo2GB4I6of7bTJ7PWI06chOAVeZspiwSmRjn
p4axv2pnZlmm4moF7fBgjgLHqnqodzAAw3N+U28lH8Q29mxP9RfYr4m5f1JJF/TtCrM4ot42C9L+
J8MCcs8wpVoZ6BSbfWDY9TcZLHlz5uTgmZsy7AK4iLUVaPqxP8BgC0JsHws1ecaR9qzZ06RtkZl2
jNRqyKtis4TlBM6ayZsTyyzG3z49zJnfQWNJ2ytrtsMdATzzspKAmcck7c2vvhlTT9LfbbZAvsV5
wyb7bSCQh2Q5JfCdmL3UuQDR9+/dKY9/RDT3xzVVQMnhO57MDQi3/ATOVP7oms6HXFH21l8IbrsN
RzSyMCuIKyiAcVVMerUfqFgeQuVmT1PPz1FGgVp1sNujVp2sU4nBLW4V/We6cMAgWZ+QIDaNzITE
idovCTr+b21D8mwujfYLHJP0LOvioTg4SGB3KSq/zx54K+fDep43+FyVw2Zc4N+tCpv0pNx0843w
fW8NXxCnz9bLNwEtZFzHhqjb5ZybyrOywQFjNaRiemzjWUutvRTyUCTmOMW+zW2jdQk0eGiqpNBz
0JiPIsqSe7Mk7rUOkHHueobTeESgyyMG2knmXNgLt+rnE359cpyxpo/FdRriBVqbzXJZD3DV3AT/
ZgSc6d41U/9+GmwPioYK2iPU2+Qa3WPzF607G34SaR4CWy1/W9XlsltGme/mWrrlHkcbcV0Ujc6a
wVf+mo+o5aPi7dKEb495GbmYGCbN105znd2lg5SZMt5plqv9gkh1HyYMqtG56txgat42Xtd8xZlT
85/8pZkwKc3wG6TiO/NkyY81ULFYndseGwsXw2Xqm6+Darov2Mfb2yUI2m+1JTpC1caEYUVcGh8F
3Yj9GMGPiObeu3aXFunFVEfiWqYQU6h3ccl/QavuhpIdeHZcCC2zFePaybask8vIhjegh7crfBEx
soScEEOOrWFiNZbyrlOvjj81fiLwKxzrv2BD5JsBViBsdDwwrBXMnf7FGx2b3IWwParOjDcCY4Dz
ruTh4cHLT6GRsS6KOD1zGv51Yxrieoxaf4ED7FGBVziDXbtOWxy6XCvNh4gmzibN5/gIf4u/EE9R
SGDBXAybbGnqcbXwndPGqvrPStG0DklOeAmE663jWBEJ1g16lkNLh0yPgP0+LZOJbJBhDIid5CYL
z8zvwqFr4O0l/r0RLW2xaqo5uYYETYhL71bdl6KFNBNC+380G5nfwRp0r8nzCy+8zMLR2J24UG5g
0BoEWtVu1Mm12zNqGOwpMswM9cNcYJsZEmX4iqZ9fIeU3T1Azq8ufGfmJ9ZLfkfJLj+Rktq/LDOS
/ePS0RLfEpmsfgQNbb51TO4KPrGe1XcrLNLmau0bNb4GbraUeKYS9XLnJhy5Vs3Yt+pQTiQH8OzM
pMVoO5Ze32WmsWYl10We1WQHW0t9YzgZTdxJFbxrsw+TCbO5OqzWEXk5xEJzZsJoL8Ptb8aPr86s
R1dA95nm3vruTxk+K3x6LcnKxfKjtrMGtYCNgmbdZd74HSrcQmQ4+uYzo2kYFp+dvN+bM2mOKzyz
rIcFhcNdNCBqTAN/+i6bsL0d4orGf2s3V8OEoktmcXtrDaG4Jkwj3Q+R9mTuQ+fAOqalwqH2ZzfE
8LlN08q87YywZ42v89I71Kpm8EInuORMHO8aOK4sYnjs0zcdnBFA2An/gj88XMUlUcNTUeB4SxzM
oWXbvHA6Nx9XXiDSG9/tmx2+Qv0nmJIQspbkB2a7/FHfNM0mnhrnqxcJb+c2MA0bONUb25HV2psc
f28xXisQTXeTDx3fIWYl6s4q8Vg/kY0qF0aUXQh3XRj1/RC5lzDKtT21SYTf0MHlwyrlCird0RyT
6ZiVTcdlc//anPEawEeDdYN8871EonUpfaO5rpQX3/t4fh8iSQwNi265rKwKsLFFAHTw0uE4KVXg
hDlOl9BluotKBNVRJJVaUepTAkbAf7RQnyMPG4s8gPWZ15PzMhXusU1NiyUN160FIu628slxkoN7
ju2z+5l628TbSNZfo1njTPWwS+gsH9q4DkDLEgrSKavV51DO4s6sknkX4Lvn10W7iUi/I/mmrc/C
eXmm/1c+QVhatHcLRysbS10Wek4460Apl1y8PO8PuWE6qyk2sAQr3WbX46lwnlhjs6FChegX5uYe
Nm5/P7aGz1IXibux5yKjFwc3I9L7FY1phVQEthd2Gv4jhirFWZoGjzIzyz3t0oQ6kFJuVaKfXNV4
dV6mIY2b2vof9s5kOW4k27a/cu3NkYbG0Q3e4AIRwWjYU5RITmBq0QMOOOBovv4tKEtVStW7mTfn
ZVaVVUqR0aBx+Dln77XtE/Hp1idQjdMBzrl5NdjWugvy0dlNmptRyWyIppJWYbos3oXNhfhQCJf0
kLk9cDuxALcQoaPUg04aVmH4TZej/YFIV+s2rMMtir4W72Q2FyDNyTZ1WbsudaKq95br+w+L5iy5
sM+xqbIvRDnXQxObZ/kVEVRlxxIF321XcBnkDWFlkTE3hItICUlaEKESz7LoAcBAr8HHg8bdY0Mv
0uJjsczlOZ2a41B2JH26wrhuSXB5WE37wwDs5cCteMCUT84WMzY2ZP54Wws3eUaJzzZD6EPJElhE
EkHmY2D2pFbVTnBRqL3jxMz2GckwUen07l0tSbOMM4IkGVpU62lZWn2zpWg17NGMkhvOa84ynQsg
L04GPxRMIvdd31CWVsaGEmeGpm/CZCheamIzrlyLBjytNXTpZB3S0hhzA1V14nTXC81sqjpfEwg/
9kV5DqfcfMQTd+6Rfh8TvYXWqvLmu0tWNfCClGhRaDPgiZpJDdf0fZeIHMajBSn1JWRmSp3zsW/J
fK8zd4076emN1ZUFEXAI6wUASX9qbf+TtXpfk77t3tixVm+VAjFVKGU8Q+s1Dg45TPvBH+uHxWPH
Ui29xdAb6R3oWeBJbIfmI8wTDZrVaSex076p/KNfEiEQNcJr74xp4wE3xJHd0b5pSewJCmj62BxY
hFqLRN+6LpoHuwvqBw9XFF6ahQW0yKbhS6Vs81MDW/pLl5g4yWzEfXcdKoAz8abt0yJs1Ho9Ox7O
W06Rg2eNeBn8BM6pknhrvjvEeVrSO1urTSuc0pA8kdFmv2N/TGVKhJAg5g1OfV1iU1Kj2oTCy1h/
K5E6Z5Fah+TNVIX1qfxOjWgFMnTVzcmbXWJ6ikWSG2Es10R9MVxcdaCMdejv19JtnqpuZmFQGQG0
pMEOuj2IcKKjMc6bJyWzUfdGxN63T5k3wtpBWp+8uRZ+yiiUM+povwhLdyfQDmIncoht3WnFp4Qe
glxq16DS8iliZt60gESrLvlKpM9OmY0mFWqSU54e2LzyyqsRAJARE+3HXSbCxbgylm0LgESazQvF
VHhdZKaAFtvXbFqrxOMs4ZL2vbiax+RN9zrLonTEURyB/Km/2ePIu6LrxzI+CSd8+/1gupqgKbS7
jpXHq9rsxT7JIC2gYK+9ckI3jZ0OvSS5qFtTAKdd8+SiH2uuqryg3YOygOy8ppzLo7ToAt3Z2HCt
w+Cu7mXph/bJnVBUcAqZt8ZT0vH9St+lH9JLsywuChWDvqoXhB83oR70N03IFrcSprHsxsMz9q5c
tH3VjHCYasgGD6UfdkksyVN5h2NLLceZNnxyJ0a+9NHWJp+RXTmfOm8STp63zI3B/I9gp5hzwr1L
7z8jUoKgUvw5KH7xxTU4uPLv0ng+bHi9KK2+5iC+qqtw7JHEjmGdFwB5cnuOKzjF7Hc5neuxof93
nmApmhHXITs6NxOyOCFDpYnSM1spWFxyt+dWh03A7xo8v2LgvEkJn2jcyG64Hau7TOMH7bYtZOU3
9oDjy86ercK0913Vmmdm0jhr6tF5qNNgvkbLlL9f12x6Rsquf2+r/0eD+hcaVMQ39Mb/2Rn+Nwkq
PLy2//il/VmD+vvv/CCMmIBXBUNzOqyAGRFc/lOCSnP1N8aowoMEwSQOeeo/JagCCaqFphCUasj0
/3vy6g9aK8QSSkPCkCAvYDQ2w78jQf2uJPhpELiFHQU+PEMfsySDx1+ncZS6Em0FFLCAfmwRHtCT
BMv40hN70vRn9iR+3kXsTIOsuPLBj+TutQNnadqnVCSujxqwRalNDGCYBKVz0xiQOJlBGwN8INR6
ALBzbpSyGObkqgwoCvNrN510l1FGlkUyHhPgPqF4Nl1Nhwh+98jEKuPxV7vLSjpiQJp2Rss1NrQX
NPWZuRqrGj05npybuFKbr3ZD4yBuPSqq5anoVubn+0Ckk/9AA2fMwrs8H/YTu9xtvhnYRh3DIcM8
Uo39iqMVNikSzZRuQ/AfyvF//U7S+Yu7Bgip/ae3zfPwMfv5lvnHL/zzntluDIZFaEAtpLXbdOUH
lQf4MXIC0LiWCfMW6d6/7pmNcMwsK9ik3D9uFh8pt4mKe2NWIP+2/55e+5eBKo0AjKMb6YTHgI1k
+5exGX7rPGuXYLkJm9VYS7BzclkOtTeF7+uakpA2LmYVDGDyolyKamtZKJJyb77/7gHBawlNe0uw
oYbFCJxb+NRoIdzX0lKUFRgZcu4iygZz1Ouxrj0cLo+Gz7OKJIAQCZl4zohBrCWeE7uIiIrdbiSz
Soy7sBa6Prd90SvwAdAwg2+O9BciTSdEabM+pf5o5XSn/dkoiOoJOv2EA8UUT0bT+vZeiswW+7SY
+vXCsRTOXYCNLjZ5W3YL0vQIorFT2jRiXYbHvgYVOnIPUsTWGe1wLObx1HjJu6a2s3fr0Dp031BQ
VetofJpwjNKYED1ayjorHubWJeKs7074ddJD1ibjR1ArkLNUnRQRsxnGHmaBL5tRR+UTS7T6dgM5
UecUxhF6RfpREw7P7mL7Kx2TuGiC+TZLS22c2J9NuDdKI12ejMUaVwCRaVmkh0RIRnlXdj5neOkS
sx26IwECiUViSF1qkC6PXmXm/Y2cVdtwFmqUw7X+XTP+n+foX6wIPOE2Ncv//CA9YYRuGIj8vCr8
45d+mDl8ggURTiCJw5APHovX+8eqEFq/Iaz0oPIAi9kepDxk/8U9Zwcdcuta3sbR2RaMH4sDT1LU
n8ykQw+NBE/Zv/MkRUbNRPSnRykKcrwiIYaAUGzj/y1+/WdhS+7loqgslZ3nzoL1Nklg3S4+vYvs
fJihYLsFo6cC0HXZ0fHbZu1JbOrARXmihrY79laNyCxoK++8rr5I9pVu1ykaTHN+GNmYiit8w4vx
gHew/9BRj7kxXaC0iEnGYl6nbQVwEA9oF1UJM7JorM1VMFsYveuwgOQaKe7u02qtg4gaLJj7tcIu
vtebewDAbcvQRmFLi0is7j6RkOp/DqpM74YgpNJfTR6ZwPoGFWOLst2dlU7Cvg7tIdupsPZuJtgy
Ua3HR0WH/uArREXRUmnT2bmelT/Jolge5swcbvvUrh/rggbB3p9bg8ZKMMMebVyIDpFXyMfKlZoW
FphGmoXLMUXifLZlDxQ0C1hObVJkszZvIcW6YE5VRpU5THZp7WaXXoEYfPtDFaKnyPHCP1k28+Aw
EwRcL/KO3Uq4Y2Lk3I920Z80m5ddZtl4j1eFs8vz98aSw1iTRnXv+EZ16zTTo2tOKnariq63BHj1
mT6XvBLYO+KeCudi1TWNLW/uHnXv+Bz2LE9vKD7F7ZQ1ODihiY3X5rTv7La9TWRffyu0F8IdFstB
ueg5U4ZKj5iNPrtJ0u7Iqk7osmYd5T//oNj/EApjM6XWDTxP96wn+Co+k5gnFnvn0SEa8MJaP90z
BaLNX2afCmwUH93Wm3agnS/kWS07ly4EJLdERL0njQfdzvVT1Zd13JRQ2W3ye+KBIwK2soQzVwxE
G5UjhtFcPZfzCslF2fPtwixuJxmz7y2XT2rQUtuZOknfrWzTiNUJOqryomlDXrYowPZIaV0cMMLn
xRy/VPz8XTqK6sHXDaUzw9Lw0Wfa+BBQsEQrAX1JtM2cb4HHDnEhtXFV0ti7Wo2xeTRtrmjfG4dr
G+zVZansSPYO4Fou+5sWo8+r7n3UK8YwZGdRZNaO6VLVRVs8yq4ry+lqxMF6MLrx4mGuOpNdeKO1
ImNq9cjw7YimAcI7G0enqXQZKa5BxqcMoMbEGMhlHt4bRnXI1PqIdsY8JP5FaEpo1TUvyzQW95nT
3xkDzbKlD3dhJR6tzqz2TSA/K+n7J9Jc3i+bBrKy1Vvt99WBspEE8zq3L66YqEK3M7V8MVKyqloL
aeU6mh/EGM6xXsLkKCdt3EyUGftklOmuMMUri6G6s2U9HwzVE7Vcpi6wSSXeCxr1TKB9tasTRKHk
jHJbGWcfDwE8JfuVZm+3H/26v4JzYdMeOq9Dfj3UAwbJAYV+k982iYID5YVEM4oaO0EBoxNT84HA
lzkWZaEe4ehWDzJwUzJ+Ocxs1p0TWvT5oZ6r9aoZSnQJUkLvLGfvRvSaRpkznfqFDCGs4mp6mMTw
fiRB4Wh0i3s7AQUFDhy1SkzmUwPVpQp3ndXbxf2STE59Tal+i3P2E5swd+95a/iucBZ5wJJUUiDk
yf3iBPmdm6mPjZDkipPSHq259dGT2sVL1JvDm+r5ylvFs+tlZV/SqqkPyDG5pM20inUtKialWXW/
sOxG2byVCC3k/Nhvlrd1BLijE9ZnPXIN5su8vJF/R2u3zs3uiVnHU2NCsiXnur4D5YN7RYfVKO9T
MlZOjgQHfSVhRkmCnSDCqrVoT7IElQM8bcDAIZvwcSj8b7I1pxgHLYqXLKgYBQRgjdFKDUFEXGDd
JrHIqZDSuB3dggFT7hkHa2W4GthDfVgyulks7mhG5vE9BB5lieOim+FcE2lJshf6/M+lQT8c5G6B
Qoc4Otu7K/uAsRaBNMGxHINivZ5F7z3MPLCfnJ5Y9aicuPRO/aDdF2Xl/Tlba9C12F/cTwNXfx5b
iPGz2DISXzD0k/5jh+bDhmFt9ucWB+K5WxLjMIRFk1LxDacFadBdVo3VE+M5x496jUgFdjwXbrhO
2SsqLrXXtqiPVp5mH7dSIaR461EIp8sgrlOnhzbvC8nIe50wGmkZcH84WusIPYfxIFnavzWlwHXO
Xn66GbRS98tsdyYzqWUmeN1q8H8zMQKaj8B2/GDSt/3Y9Wb+yjM5hTZWjzfKWes7kgrDbybbRrQL
VeI8GrSmPhhQbW9rnNWI66qvcHy8L24TulD7M6cb6ffrioAnkZ/cVp9qVttYsX9YdgtEqzoK2XaS
TVVkwftRL+412XHVF6Mwi+Rcj4CDIk/m00PSCe89z5FwL+c1PcBUsYlr9H2Z4IWysvTUQ6L9XOZ5
KFiMQPGgRtKbnJbsetIHjfu8IG0yson+e0XpUN46lSSAXieD8GM7rNcT8VblFzF05aOc6HFCULLj
nIiUU0lk1o68DG5WyU75bu0c2mtqUsES2Qhf6v1ihwT9Eff36k7L9DUJsu4tELTjG6MIUfelYYot
qFuMc28V+h5xFE02AmKNz8JcML/RVkfezOAM2gNT5qNvTPItTOcmADuRjCdpDc60K/KiW3AD1cWH
LsiFgD/lDI+FAKzDhMHpbr1BVifuORpxo23KBd/43BH4lYV7x+/N1yTEWL9vcrOcd5Y2CAGoRP6Y
hNK8ouPpx804NjikAlFcsTwXoEVoPcROafvXyzR0Zwuw+86TwtwtelS7yuaC8yu5bl4Ase9Mt4uZ
ZA97FFihiNA6QsNUw065LuwSQ4/M/hK0vrNfyJPyBbjtumr617IvBj/K05GkFhS67Uu52LLZDzR0
O6bG3foVuZlzk5iT3GEA/STSLHz2s6b+2KaqPThZpasdS3xCRoAuWyNGH8aK6M6LecoRfd6Eq/Df
NNl6R5lJtK8Y5wkXXpzF+eRPfXYZEst5Hw5ZBnC5dmYRdb1WUdPa7ZFmIv+3pD8THBmELI9UgsSJ
znZmfdShZtTTuPItJVDzwQ0HkPDFbJuv48oGcp+a08i1ZCo4A41vfQk7uyv2Se2lxjloi+QFgU7z
vKyDpw5Ok82XUY0LTBTDYO7VwziokeqcYMLdm+uYv3SNf5uSuwYXRzMwMfZTgFsL9l/4IAbCWkdf
pLs0pEm1c0Np3zEwMEDFp/5VR6dKRm6vxSesZzZC61am70lp8TFI1BMTestwrCW2VG4yDUvTW0WI
3n5C2Xmyi0pfrcIddqt0qsNomuO1ZWR7b+zrr1lhjwghR89HWYgjj1wCEh1Luk/PqesnnzzRJgfd
miiOOJurimUvxpvMnstTyjYLrU/imhs+JUXsk5ai+ILhVDcbOKCJJMwklhZnuoH+k32oiFl7l7tm
Bv3NNagPkvG6lwRvcoF7waXs6zBOTfaI9ZSeAyby6kCE3XgMcth6m8+vfFGYxPooSybK+Cx3h2Qv
pe3tu2RdL6VhyfNEn/yab1hd28TIfU7WfDjU+TBQv3f6kIZOc+qq1NnZ5foBhso0xhjqe7KeO//e
6TrjK5V7/58q+X/XN/N4FP5Zlfzhqxr+6z3XRt7kKJZ/f9HTl//7f5zff/MfpbLv/+bbyLshGHzv
nzn/KpUD+zccECF+7n91ln+UyiZIBNMyfRrCHj7eTfL7o1T2f7PoOOPfp5TeWl9/q+nsBb8omUXw
3Z5Pf9jH3Man/KWRljLnrJoizU6q9scL0g/gTcjL1IUUC4GSd2CkWo6O9UiwLTo0xuFmPue7yrSm
I7M7gyUlGf1Dj9brCd8HYRJOBSgrGKqrLDRgBOVj2F7a2e0Oo1dj/5/LzD0BkPZRuxdjssZMxyfU
coFbuZEoXW+nw6XcueymwX2BMgzKkSROJLv0vYL02WoUecOspzhivQJl8fTeUszWNk/g8rwOesP2
o2bN9WbFYmv1kE6tdR7abe44N2pCWm9UOl6NpHt0GYle8ysWG1HT11eyNR7yRBZqx/B9OvZO196s
09JEs3LMD2vf60tBdtS7RC5Edfcqu7dDAPhM0rdvXjH73MOPznc5vMkDYwMWkmxa6qc0c90DohAZ
F4q/9s3OukDkeW5LOhNpMOibgBI00NUQG53Z7lLdamJ+czE8lbLw7wl5cR4Scr0YbXpQ/xDTj3zj
KjBWgjFhHjDfFnuU3VbkYe7Y8ZnLnaMGQRBTyPTU8H2CIp0PpFxI9nEZ/EPEqtaY3aUkkwMQWkxR
7XzyFmLhTmxbiUMR14MBxwkduDdEAWUXkuHhGE7N8CzUUjDnz1drb2gbGgF5NkR/qsblfLjj9RrY
x6EwX3MmZruR77Ivk+F90iwm0/f+eSkXQaCy2bz1U7HwYJe0K5Yg27nlsk8tpq1VkaaPqK+chsF3
W90ERd3dEkxCJcHII/MjWbceFazyEAUbyc7IfP2a9In9QLptsXdTb75eVvl1sJ10YUi+evttsHm/
ksR9niHp9IXnxDS4ZjZ8JQRHy0PH3BjJg+UMLzzXUe8MfnnKvD5JL9NgVvphZpLcfezTVL2ZUzd+
yzHPPHhIGS5F2jlPyKGLneE247WrVOfFg645ZBNihBu2Q2/whcZbQ9rG3p7Mr6Kp3/xpalVcu01H
3SbGqMLAcEeX1aJY7JfgNQCG+o6CG70oQZ97r0uweK8wHuujKSg5DsyTEf9XzTS9Zenakry0AKPb
K6NTM4TZHnEFZ3nPaKjeA9zTJr2GtUKwmZnXEs05HEYLNb2W9v3kWq+rCl/Nfox6k7DA3jfpbYde
Dp9S+FnXXxH6Y1+Zqe19cJPgHbXxV/oACY9w9mD7nn4fDC1IUpQSgrl6iHULSZ195LFlPfIKaeQD
GrlVXX6hCzidZguYLBezwEg/pmqyb1So1vQqSOY+jcdevtbk5o2P/bBQk5iKMJ8xudcj5t++KyU2
IkfvlPZmNgXh1SIc0mzLVXcP9moTYAvngSdygLz8UjpmUZKnJ+ktzKTn3ijXSfa+02YnGH/WvpPD
FHm+Yews6QUfRE9oGAXVpSGp6ZgOKmNaBtAo8eiluQlAr9BcpgPCLWgOc1W+zK6z7Oqimy5YVBHs
DzUiXvrdxGfAMWB76T6A4S33SB515NGBx5hVirigLD4XpbPu2nGUV1oQiqytOr2ZcFlwBIp1hfds
uid3CPob5OPGe3o82VhdRrNMd3WlEPXkm6p7Nhy0OfJCMfViJ7O3a/GDnGgVrXuXn7qgcmxvLOJ5
AGwLg4KrazsbGDAOCf9Uejpgpeq7ByfsnXd4srPY82AxZa5F6ski1+UqIYOY5n9Vlq8rsCeKNH+i
VWKRftbrN9KLkV3oMZsjnPD9AYSCFc2rvq3WdPmGQlTzt75/yNwUzamfy/FqTtRngZ5vh5QAB0Pm
NdaO2nQ8JegMgHYm/XVejW88WLwDVlt9bBB6cpcm7RZ1JKfJg9eaD5/thqfN3he+ukYsQCMvtZ5S
5BhHx6jNS276Mu6boKC5Qk8sW0GDokqILB6w+8YnONoCX3u0+8Y8mYtvbR237ORNYt5vyPuLN0wg
GraAdCVN+3rE43+ZGz8HTVo9Jh6ad1+xvwVPpoIo6fNvI7RN0v38QJDnxNo7WZQGoWN3AC4tVHhs
prudOTv3vdXGRjvbS+xyi95kMgWAZc4BuXTS2Fh/ITE4uXXGOUAi19hd5rru9uaKnsZt+xn7nJwA
IlfyGjojc5hRZKd+DT+RP1WfUrf/Amt13I/l9Ilh2Lg3YYTCUuBxY/XZKehVemRi5NCTCm41Glbi
b5xbp7bRdeEUoR2U14feUOz3i8fRVMbDlBUUsx4mVDqO3I3VbeqjkZ69EhkdnRfXjDytvIO7qn4n
ypCa3dXjAK1iXp5FCYF0Gjmuj92Yp3TUiwHE6KLMtN3bPDn7iFEQwdcDerwUjdrULubeg+yMa5Dy
cH2irxMaLxN9z4W0TZC/u9xVNg37ssEYOpdWVYm9P1jWcsRj8+T6vVfsVo0rOFJlJQA4A/iMWxJD
IruALRqZFuUDPoDZjcxx7e7s1qbqQRa3fnDkOH+oW3M+k79sXcauwXC8GBMqsdqfvdhaQD2aXjmx
9FcNx0Bnw3Ghvb+n+YxPojS8j0sRFNDUxuKszXB0IqZd9WNAFXWuzVrtoCrsfWCEh8UO0i80avE4
DZN7r5agO0xBZx2cfkBkV5MDFJEcxgEqF8IcMjNN34slkUiYoMj0slTfs7vEMe9XoXfm6o7R1I4w
nXi6Ma5ohXQuvRzrbD/YPZNNwOEjCmqeXObBVTzbIlLO6LYqH9v/WoIWpE3VpJgelB5PUEHGS5WV
xsnoOo+NHzmFZcRQFsqKSx8sboe1oxHpYldsgWr0uwzX+65MO/NVuVvfFyVlwei/7x7B5U7EGxGS
ijYNlxeNC5h9TJ2Pq5XNmhjMmV6ciZ8M2Fa/DIwNwhAMQGhd10VQuzRr5+VldXJx8JR75QwJwsd8
xQ5GdTvBO4dWGqvW0cc0NyaNj1elewcR161YNmwfOyAMUjXTp5PIhfkhSTL6VwgusjgdnQAe4CIa
zeUymHHeD8MLi/e6dzhIlza0Pgm/LLmxgepFnNGEsU5pLrD1+jJDzzAiEOxH146HATl/LLysvsNM
FVixR87pfnCzG+lO8hAS13gNkcM9eVlAg4S8EfdBVWSP7RU03ivRYCsJOWnnAA233lUUyV9m+jlv
IXvuZ3vx/EsisgZY/aL9a2WyNdslqZWGN7XpOrG9+C9D7SCGT5AGeqkrDpWx0nGYEf72QOP7WBWF
9+pIAfxeBfR6cggNPEvs8KYqiBi1ie2Lh45mLetpfs4nwwKaKLwXrUu1xJS5fkLjPs8I3DRXm4z3
uj8szeA8jlbr7Ml5azZ3RbkHJ460da7HvTtrDUVST7eLSqdH5Ze025ppjguXwVBLJuvHpZvoFDGT
YYaQtwTrSEv2DGmQZtKvyyMH+NDe8DLvgHzM/2I39nxNCMt6SxyVfJITU/KY9bz41g6Wehc2ZvWS
WmaV7lwwzed2IYkw9yvzbEqGUj7X68XsUu/BWYeJrE3ZnuzV5A0wTEUWjcz9Qr+EvT8GNIJQR/p8
A2bgsqqbAw1V96qojOaEQhsZb1hN73C2OHDR+/0gu+IuT2lEFEWtbwvfty8sEnrHDcjN4mubDQsr
n7ON1TOjk/uyLrz9Iqy6jUtNu6mtEfeXvSguhF8xdKzNjg3UUH0G6uSuR58e3z7vIJsRmDx98eo5
gy1dhfONtm08eFMv2sP3ovY/U/K/mpLDkvuz8v+/Kyjzf6j7EWjwGz90M3b4GxNydrKB72zx7v8s
+y3f/k2QQkISNsX/9/r9x4Dct37DfcOPMx2HTGZtlIB/VP0uf+Uyzd6QOz64AkCIfyPRymEI/9N8
fPs4dIbYoJG9x6emBfDH+TjF4lIjchRfM9S/xTdirRLH3E2TbXTDbhgKe3lPYArtJ7U4Ff1ytbju
Z0hRsrm2WuRZ9kEaLBA8nAKjRSkZJiykKMzKbH7uzdooFh790lu9iGU+1UbMZh2jTOxU47KShFmg
B74jMFr6FPWmNKbnbNgI5BUQZyJmxBLm9uZuMt3gylFgKlx2GYUb9nE1zUaQHBpdKAnOXWUJQPif
TuT/x1D+C9uFURpOsy02nf+irgEy+cej0yqPBFu1ul+lmpgckWPgZyjXe+E45Q0+j5C3nK28qb91
6EiXdxBEQj6anY0936chq3N+/vOP9B1H8S9BAx+J/QDafuEGLv2g8NcujV/Yc92qPv1iURGUN1Lk
aXlexUjC31VmePmESMbPsSnC5JfBSPU3k6IRFSxu5cd2Vgu2Ln9EYH+uTK3Q4uOaX8fdWs2civ0w
MLZ6n/VeYrD1Bcnv3a5rafFjKAuV20VmqkY8wX/+pf4o4YL0xkFG54h0DHW+928kLkSyZJaWVfPV
hLPgPblNbrSPNXv89f7P3+iPIIrtjdhRbXwxd0uL4v3+eD6Xqu7wVMzJF4JxbRSJEmy4QC9vcofP
jl+Iu0m1rpNFJMlXTJhRSfv6sczd5q8wIH9stn3/JBC66Oy5uI7QumyH5CfgCjqMhazfwvuiVdB7
t65cCiKne+KhfecM+R338N89yGhdA5aSTZ7qbzyGP76jYaUG/RPf+VyNXd8uu26RDM0w663JMv3F
e233xU8XKceZhUsA/NyQOWTv0LT8+dvZuE1Kmbv2l9lKaV19JcgXW+QpkSPXHb2T7RBXi7cJ7v78
BP/bleRyDXnbf2CGseiy2P78xmhLVA9hRX2e2ZwF1Fn+liWZ2AbN87/4jr9gRbZTSEohvWFat1xR
ofnLAS3a1ionjBlfVCXc2j+Sm908V/bAGhUPhHCk8m4O18Ssr9u8bzxz7+qsXN8XypfSYeLEggg+
u0jq8IGtmO+IONONXV2XeEeDhbpMiPqvkv3+7cRs8DKkUEAyLPiKvy5oVlgGNoOh5jPjmp5PQbJf
WXzTTPzJoWlrr3V2sArhXv/Vwfr3ExNyVmwvQEKNfv7XZSsxMDXK3jU+sbWybODhyEJGFfuBRAUQ
Ww4KjIomkyj9j0z7SS7YdX1PSHhcE4Sl3+FcmxjTQSVfh09pgxeWSZVnA58AjkQExJ9fRb/2wgUd
cFqy32+TcOPx/npuUUMjCRr79hMqBroYUREsw3qvvLnnoloXk/nXVaik8m4NJ8m5m1QjBA+DBiQH
i2VYinT5zAVYF988ZXJkePwRb4AP14Iv8e33BVgkktXFncfUe4EOiIdpqyxLrlS6v4qz0/SDx2O4
wTjNGaFFtS3RhsrQu9KnnavgAX/DML+CLmALEeGGSTgWFLbMgCIiuLyuONiic7m/u2zK53tJZxL4
xoTq1IqonNR6z+0fugAFGi7Nfm0LPiMxb2Ez4hQcrZdStbJo9qOHgOT9Oji+fqf7ztOPquDfTFHW
FKwgUUawAOfMxorDWxOgk5dLXDjS4EZPAl4DIa3JaD1FDdF4jYvqrbD5SURoCT+Se76q8W6BKRoe
hsmveZgt3VywBCv2wGAAijTkrY18CvnxFV0c74acVHq3sOjz7pVBtKuPidBdflMJaPtX6Fnm5pJB
vRvP4zzOXEtzgAmLxgFxfcsl0CrjYWkmw/bM7ILE5m7DdjrQT2hFI8uSQev3L+AWQ8ZXbeDI0k0w
keZzQF2z4fJTc7otYlXtm0a9J47X439yn5Q4SmlJ5/XHa3SSHJm9k6MvJPjXhl46R062uhyD0ckX
3nqWGYvj4rR8p/T3oypQSHHk3IDCHVfJRPFxbigS8fJbWbi9o2P47NoWSa5GFknM7Hw9FvrtcmkZ
6hbfnBJ3mtoXiVfUj83golQ4FM4WuhlJzITcU7oJ6VrtUpsYnSV2ZpMXhDpsJf6BuO8ycM6GmPPl
c0e4McewnRkMV2Szmzggn4LK9LYOCwkY1XRKvEbDqU9XXLXBrrBmh79bPHaLfIkilN580znkyaf7
1ui38+7bmlVg368k1BAgbyfb9cuoRfCnNHA6R59DpQWvgoNXcCuQpRDwJ1y+JGpEPZhYPtLCt+df
IvjaPosIM5TtMSJTbkH6KCVXirN6njhiVnD4eEWdB9u+DZtCmd8qbCDuSz4K/gBYdfH5WIUIt2Pc
6ZojODJe5XCiptuuuYotoDjinBAcn9T0tkt021rrdzJo+GdnBRU3sF8MrA1sHckd2Isp5z5f+mXd
Fo8tCfxj0dHY4ZYW4faivQmDm0aZYt9IzIe0HP3OzwkoqvdZ62/GKT1jkatvMN5uRoquR7JBpgF7
se2qdnL6FDtACKvlHucA/DUBd+Y7qER5qHdWIPxtZcqqrFgPnknrmracdA5DuaRIKLi20f39P/bO
Y7tuJEvXr9Kr56gFIGAHPTn+kIdWJCVxgkVRErwLAAHz9PcLUtUtUlXU6jvuSWYqJRFAILBjm9/E
CqGEa3eeJ7Z/0CGn5WzDkulZRaIw1h5Uf1dRr4MVxR8DGbFMpFe1hUdLtyJX12+4StVsWjubbxnM
N7hHzQYBUc7cED0a6I7jeY5YJ/cYGR3vpkXUrXafKvpMPAzi3AhifApLJn3VZd3VIU1Qz0yZ4G0J
xISbbQ+sdsZxoRlQTF4N5O20i3Au65NDJLLBBUYDKsLJvedlZJQICgAvdZ45zGAAMPKTyZQk8Smv
k8HyAbuHnd48aaZDit+Pc9vs8hkFb9D7wD/YQ6iltHl8Xmvj32ZHF2KQeBS6glAJxJBV2pSwMIGk
TfikDO1lN3ogK3ZZ1Q68JaS/bc6CegbZ4K1Dhnks0sDis3NhHEa92pl0sPmTlDAtv9fLSMel3FTl
dIOvis4IE2eICU+NA6N7PO8Tg+igWEW+BcvuOzaUaqXAuIq3D2TvPMD2yDkERbdw48lkDFzasTDx
aHaES44jALeAZGn4uqgDQMkp9CHb90PLdpw8vDowlwnkTHxgDGc4V8AtJZgsQpTrHBoM5nkkTAmx
NVxKCJYIayHPPD8DcKYa+VWHEPX14ox1K+pwn0uiKgToJEPN46inGRIOEuLMGwRAqmjroEndfsKN
hodPaw7/eQtv2+eO/QyZYrUDuefzYWfwBtg8kKv1Cv7a1mUK6ZIg49SCjbukk06cvRr/vmbdGQGH
lgWRjzUGeBRKCORzEZt8nwbNwX7tBJHrW6sxwWzu0sZ2mGZtmMveWPmLNXuP2HQVEukREB8hCsIZ
e0i2KYohVaNwZqnV0DzDnmgNfINKw7mIuFOxrqsmbR9TYu4Cf7Kqi+9g0Bd5y6CylE/jYhXj1RIa
Bf42RoF3TyNoCdJxRxFJaz3jToAPyDi6gbqULdySeoX5RmmdcLlK820U9MpCcVrONG1BB7YLM5dK
0WCHL5zTnVupRY4z/k8+eNwQQK4x919D2xqcT17Rzw7in5gWTXpKjeZiTeuK50emZ47i/tgnnGTF
2l+KcWGgnBaLKXeRDY4I3+A5GlZen19gb2g1O2i4QFBcErTlDoOZpObg83r/rJvnIQDgBxV+jeJe
CK7RY3gWbrCl8RHHphmG+qBbxAffFv0GXZFxOY/o1Zl7a7QSexc1jAT7Ve8XC92xSLjGdZPXpXNP
KxRS8h6NxrlptyGt+elu6ifRXxhdXxm3juF0y0OPw0oBysjz5D3dxpg5YdEz12r2weTGy7Qyld94
GxgsRb6P0h7LmKV2grJehXkt7GTty6Vrg28W7ebqewI3SE0aSzS3P8LMFShdDH5T+0D4OreH8R9V
rRtshtx0C28fYVntXcKVMPJ8r7yGtDb5kQSV6ENrXQNgsAGTu70eQ3uiF4Z2juRhsutf2beJ/oZn
3eIiVgO3GNET4lhqSsFw+R6N16ZxNk00yghhCxMOTQ6QFGzBLbpjIx+MBGrG/scAJSODkmJS+lgJ
CSR83G2g00fJAc7nkDiejnAlPA1CCY7JANx3CFPDT9cP1ozB+dLGBikp0g+Ko8dNyoxTBt/O2F72
s+/zM3cDQEpCAJRjXTn4mbVwtzOkpyLcD22Zel/cqqu4FavBqyXcx0ZPr6FBGYgwyXCczF6PSRp7
79hM6r+MJrmbASBgbIhlWQBddzwHfxqhhi7KzjXhRaCTIw6hYxekRJVNxW8cS0gVPCh5CZZ1a9dl
aE5ApJfNGT0G6NuMR1xqexaoqVB/LNYBbWbuVMaJz7UH5CVqrKUcF2/TdY3nLT8MgduIb6ljysb9
d7A7iCi54xf8ETuzQu6oipoO1FWIhDF/JIwU0cbuB+l9G8e2gs9sowVwimtmLJCsm0bnUlXj65Ql
YTzHGgFF8Xrr52B0eA1vxsJSQCg5D+kbrECUTqxtaOLyVV4Qw2edIr20ezw4WZxSv04wx6pZx7w2
dceCgbq+e0tEBgvZxKh71fs5LSk6isFgYQkzmb6DoTMSts8/VwKRINjVQ4M3B/2hKuEn1mXvAfzJ
rWoOcP0DKcOSpSZ5wK1bTpH7BQtiek+vr5ED07IeKP+G/i5oo4knFlmFuslh6JRvycsKJtiYaNiF
GYVfFbzyLD8kjReX49EhHVV3EMp0FmstjW4+STmoNDk2JlARi4MS7zC0SOxZF/KBR9MeuQfIvdM6
HU3p98wabbKU2I50Nq/qRkr3YDZxp4LrpU/sOj15EUgGeZgXkEDdVggUFHHAZaqm7orO0Z8Ic3jd
8MKOiD8QKUcnalZBaZy2YKaR7IkGdHL3re0X5Nnx6+maKBVzaA7IUPBBCT1RufMEYsoH1Xt6P0ZF
hvzT2mQFsp+gnSp+wf/Xf5qsRC7XYxH4HJdWwn3Z6yTxdWqIxUysk3nR6Lt9/Tzy3uW9FDDkeamy
I/CVJzEJFT+qYIxTeYBxmaMpUMJyYJumMzlBtnOko/duUdlhdVGOVgzKJy6YSQ1n/IBSkNQyZ+Xd
DoYquVa1SB7BbFSqmxWWTq1DzDHVbeyHqXxSckiB+HT50PQElxl5gpMzWkikrdBlY59hFKWLwKxx
qdhMa9IvBLw06SWFJ++5n91lPhejTf3k+eD11X6yRZs/qcSaWBSkPHTm08WmItfo6kDytOkU5iQG
vyriYEHFRu0m1DepvipAN/wqpmZBBsgwjOkZTY12uTYNZZprkSDCEmxUIuPOOAReI4Y7bynEYKyN
0WL90a/URTdTbZ2F4TWni3zwCzqRjxsmiXdRF8W8tR5IJ+n6BNYqZDao3IocJXTr5YFV1xEXaU5K
xmProxzV6fqB7eShjsAPktGiQ2VDTPYOjY9FDeYw/sTWP1iBlVCq5AF51OunV6lCp1aFUWLZhRVt
XXTtpocZozdGNer+kREJ4NorgWD1WF2ZzgQflQVZdMXthkbPQjIN05841XLcXHhejqbMMo9ZvI+S
ahpuMFhbumMwTOh2B6jmodg9+IZDfoDcmyJ0eqi58GNCB/nDcJ+1lc5EGbkRxeGVvlSNOCTmfKUt
ACiCFAn/4K07Old2sQ1jpavA18KiiBZ90/UyjeCe+cpmLYAULFS8jgqgPmwokkx2P+ysileaAkjj
1gdM4OMSQsQQ9f0Wcpo2W9R0N/7gMrOjZhCw7LWe1whnbco7pJ9WHiPfhclAIqr8SdSTrtDn18gR
Tp1OdEsr17vy467R+5YuPaOAniD26aHtIx/wrh+IAgi2m4wBv01Rr+tMlRgFBiGGAwwvXHWD5Hn/
csn3XTV9ScpTTNsdyw5InN62O+emwjuk9/pvrjfq6c3r1gALqDu7Hz/dn5eCxU2OCxLOpnn+Xgbd
xqV7UXQnvqVOpOMTeC2B4fNEsCZ2fXytl27g7/1jcDe0qQVoCMyi/pxKdSY4zrHIxbdJlJh/nw+J
1vZZu72T8BmiE2NxFi5eTdAYcMFF/XFQRRtgGdDb1N10IfRkI6Tk1bHnNTL/mn1UMtYlQuW7HWeC
77Ujv/r49v9YKkFbmMQWpzLKcdvUv/9bb3+SoCNROnCfesjk3AcHlC4LOVwpoT6+1B97DsyuABDr
MQnCOux9v5s0CnUXEqinMEE4cj5Ec5CBgl18/Yl4UTz+dcu9H6HgfYPDgG27XBOytf2uwy7bTgQx
/fsnyOk6RvUTH9v1APaeA8IGGDlvopB8n2Ri5tc/IGeY8opohwzbx8/+fpmZmrqunmUwJnUtdKzf
LjPo00mh5SUe6UlQOuLDSJcKgoMu5z++0vtVRg3T5GmFCUmDCdL75nVOYogac2Y9gjn08wvYLfqA
SjMqtQNAWZ01fnzBt0rWDE0QGaHtzJAXWjVR5d0O6rNgIZjM8hFCju4no4+swxxBcea9RrItMESF
0Ton4RoUA36zf5uj/LG4HpsYNW3Q4KiR/CHZTpWYFFbjV49tYs5xtWWWtYBNaaskzPavaYuSiU6N
8W/S8ftXU9xwUXQV29LrAVkfx9fFKTNXt3ho/eNkQHM1FFQLSxFUHAkdTkdBtwlEbwRIZ1t5T7T2
R1cflkAkalVvksjkw8c1mRl6tul9ZGGfrVFOI+S/nBbdNiCZt/tjymgZRFidGzq3QhhIp12Gtlqn
jZy2+jiHwkVu43eIL3IWN7LhtvzXBn1Hak/UzHNbJ01ZgHMkx6tt6WQ5ysqMSGICW2H9gziTdCZt
NSndZKly2rIfv/8/NpzvIJbvQZoPbegC77f2QGWRGOYyf62TFqLYIW56XQKh0qYzgF8t648vqb+W
30OuDrWYBTGjCcAC+O99CRiUATHsgvFrGHu6x4gWlZdfaIOu3Lg0O5M7AGUON63ZTVakk0KjKPXd
fHwb759cYFZkEjm16CPf3Hs3BuTvq5F3mXzNAeKVZ4hA9eW9nY+2PNldf/nxxd5vcvQAXF/QKfJE
wLzyvTGAh9QECtFd96ha/Hof3MzX2yLLGp1ZfXwp+90nzU8PfHwYsKhk8oZgybvsQPtKFkWl7HuU
ucxgE9G+7ONdTBuVSjfNRk4HVAGWkn/5NGzYl5MrwgdSYRcv6Ya2Li0YSh49v29GUZCHWgvUvjsz
jalQEnDV83NSZ4lua02GbgMEPd7WyVEFnm4T5yXTkTuFNDIPZ+QuZ1EcG3pSBLlOx2sKgnxqj7C+
0rnYVbUZOxcfL8K79WYNsKETJt+p42PY+X4NXDfuESXAbnYoEZ/LeV5GFfnKGLFKe/j4UppN8/t+
1u+U4AVfBlEK+vrv9/NYN/RULSe6Q3D95VqDS+s0R1NEH02EekLQ6+y9AKTDKlRTpbukv34lFaq/
KQWCyeK6jq/7mdSCDZHOLruIjoKRZ4Ox4O3WJMirpk0Jm30WcAfFFmF5yuN0Iaip3a/BH9MiPUQy
iszm21kCE34KlDSQomK1uBlXAeNOOuy/tiaURQe0h0WQ6DeZWWQt48pXBP56g3qobiz/GqHxRbJ3
M2YenHsR+Dh+4GyVIy2Qj5c0ePv60DbWUh+mdmZF5Mp037++lidQAci550IJ/0smK6T9bcajBy8P
Gocef9LvYmcKz+cgLSKo/lF1KO28eFBxaqoXFTWGprFYhcYcQKdN+vY+on7trjELVsk6CZR9SMPs
pmTU9qwaB56sJ/GlXzPL8a4U8gbniZl2F5xIyUK1nqA5bnSZ+LwwR1ZnERwSdwUKznQ2dA3zByS0
eoqDAkL1ugvltcOplO+cwhAX/iwR0Whm5CxC7jBhho/7tM2UIGt62nl1PjLC663iEdSEez5PL6bk
S2taG9FI/87mfH5qEtQVwXt7CS2MuOv2dlZVd6MvhodUCBT9AtNA9M+gb/c1H8IOtYVGfkJDtiMt
QmYrm4Zsx5hgbtYV86IJ3fkwNVaDU6qzoqq3/RgqGjZJln0eAqD4qyAakFoeZX23ZAMtMQcGJN0+
w1mjz3Tj9LP5zZ777tHyF1SJBhf/r8krz3O/S7dOOqfnH++It8GaDcFYmWDmkio4OG68h9OgPJ37
rRtX33lfaGzaUZVvvaJGTd2Tpnf/8cXeftCvF/MByuljnhxO2G/TvWhxSO1kWH3Hp6UEIzSZd7DF
7W5VlvmFcgQc1AlT0htGhH7+l3zsj53/8phgdRjZEMTfwyYGtwvrHDrI97aqKFyhbAPCLgXSMH85
Jl5+0v8cwy9PicE3+Bz05DiQ3xeRk13mtgIr890aa74Z8WLuivGZlW6mpPBvK7uMbtMuMhokptwQ
IrJq0mKPChPGAkUP7AuwnnclPRmeVUbr33PeohpBX7FHDovkxe6rEvp5bzk3psqqn0gVBqeK9uyN
smf7c5hRp66s2jLRgczjK1FiLr8y/NKje5Mzi7PGkMaaDOfvWY0/ctYOcmfFrvlkTj2G67y/v+RC
70B4LIlOA0iDWBcs4uz3KYFl+N3kBPPy3Rn04iepSPYIDBeHaZmeMAopvgojnDYDDppIhkjDOzgo
H1ebj7efqw/oN2/G12BN9M1sSCHaafrt/rPQIWd8kPjf44HBAe00ma8m7fi46ZiS9BvlQFP0y34a
VtCVENOho3+o6VtdqMZTCEX6sXG1WLFzECjBM5+IwkeYK5W7lrlxkYI0PsEE31eiFHf0QIur2uCl
rTwGY/N66SfGLlndRWu/wSOEtBHBTOgZP2cIz5fCR9Y+p1N8gAbUXOHqjC56HXXDt7lIBnT87PzG
qAIOCG+yxp2w+xEZUZnGd2MRAn9HDYYHSCYLgYw+ZgTgZ23GIIQz8ZPjGsEpTWbns0VXO4IenbvT
X7b9W1gSr5i1xfiaHNSjmvVt/f39VjEjssl4DXP7723quJdGK7IHYM8zmmFtZeKsoAmbH7/Od6aS
L5ckN6DEQdIRCN57jUXLtAtZcnT+yJrMOaNtBi8oGmbjnEZltmMQ0RPp3Vh+b4RZPKTxhL5IGpo3
hgrF7uN7eTE0fru1SDUJn3Zgo0xhvQcDyrF0sYSoqh/xxICBuh2d2hptcbVpNQOtNe2cDgc6I+gW
wcWaN/Dp3EMCHHZDnyTE1atGHn4ja8//kkKS0q1fWuiV0SUXuZd2h1aI6dIbUKeADh87+ChoZe9u
tuwXHbkSqp8V1OugXNxmb7AsuyzvjQuUMLXQ3OgbJ2SPZqQ6Ro6zDBOBXTxyekPgSPNTyZiXjFKU
8FSLtqiAlMDl3CqGng+uojQlF+k+9fZUwbIrhNSiST40oYlxkfai7K5FmFaMXEHUQWqdmCv1XlHE
kDj85mKEUwU7MG2wumb9anRbAn9EMsaL7c+9rNMvQzX2P53URtW5UxlyrR+/nT/jD6yxENAc0DUU
4f/o6wmbSWg+jfkP2Nkm0sH4I3wD5TEzNeSVUVP535dO2ypXxrcZ31UUHTzV/M3k8V9t2EBDkDn6
0BSkN/D2GwEp1ZXd4hc/EG6Yh83LC/GwfSggyHn9zlxUeNfKatjNXoKgQBhNX5NAqoZ9slh3f1mT
f/HBIqdPb5nQAdYytN/eDNxTXDKmPPsR+6b3qfWs7hYBf0PLuKTnnIvD5VC0/VkDu/VYTMK66CuE
ShHp6Kfr1E8CAMnVqE4oz4ufIOdbdxW0af7pL3f5R8rge+BdXT5xMNMUle+WTJXRXIatM/yg693G
92QWLjRb25lXQ2cqnJZVzkypW1BtDqRb/0yQsc5XC0pi4174dffgIkJxMv0xv7cRjGBCwimwQ86x
YLnjzF87LePe1/32fzyLu7n58V//+fS9TCt8GShSnvs3agkuheFvL/gPWd+HH7Ksq3/1d/6psGD9
g7pSoJPAG/fQ9oXs8EuM0Bf/oBnH54lwhgdKBFnBf3ItHBeJUtIKHXtpAgifLPcX18KxkWxg51C4
kvqZlHn/G66FPsT+J8qTudKtRNOXO+Qi5BL693875AKGu0taByBYAj6FMkElXtPFX7fPv7Uof7vn
GQUgaMwzkqdgtsdKvNvz0aBaW9RxdBioRfBiMWH5BVNUP1a9mq5L2snHYmlzuamXvvn62/u4fn2W
/6iG8rpG/6r7r//U7+v3R3y5ONhrdJ9YNhK3d4+INjwfex6EhxjYR77zZYdDyGRxXW2vkll2/YQw
TMM0pErFplvm9Mdk9FW19aQnNsyTETobMMDpFb180WKuM4DWuuqAxhjrDAHFdQ8aadvF8XIxdH50
W3rFuPn/eAj6b7AsaIexkd6toAlfRZT9Eh5we7G3k1Mvu9LACyT1x/m+FSZS+FbuCxxZsPPVsOav
o7Yicet45v6QcL/2oKVd110QADXBkSMMkQJTQV4cJ5BLaDuM1l2J7yh0uYVaySgxvfr4Gd4WZq+b
gHZTaKHB5dCtf9ds6qiGhtkfw0Mq8GiR5gLfXckZm7G/8RjeHgS/rsTYi/+CkYLk9NtN7SqrQ1OW
KykRmwdaiLw85qhnshftjeliLPrxk737iF52GCcqHo9scV0Mvr2ebXVVVRoF12PefUNE6SAHxeFf
7FP/xfrpXJ8GEjQRqo536xdKwkUxGsFB2mO6RyPpZ0OOcsi74O7jx3kZl/wWFPTzuHRUCEw6LvwR
FDBWtsORPXiwgYUdF7+zt0nInplnXtxcQmhYWYlHAlT3+S3mZMGpQaZi42jDoWSolvPSddsbOTPz
hHjtdhAmda8FiM9yiIsmOqsLXKewsp3vFeYuAHwXE50lNIUXuXpx8JkaB+nIAGemzva6z6OHldbH
DyleGgFvnjIAEcY8z7d9iHA0Xd++tchGsALS/XQYM2HBoqpHLBajDjaxzHd13qGFKOqfWDIYCH/g
L8HmzQ5FmQ07ZTX9LgfNcdkwssWgshKb1qvMz5YNeNcNZwf1jLL87OLWJbFg+2SBIEXUAyzNGhZT
cWebebhLFs6kngLnPokre1PF6bzP4x0aaPEj4Sw/eL2L59dAL0ulNXrQXpigtRTZWxF76cGowhnS
eAoc13asfYcv0p2M3OyYGVm5qawWk5c2jp4TDp512eXx0WFYetUUVEyg8XznBDySIj3y3G2jbGeN
AdOw9gYMb2gxxfUhl3X+APcek3akKapyNq6o7efv84yiX0BfbRvnvdi7kZN1MLrRZsHKztsYtHlu
3ESYd2A5y89+nOQ/Gyshi87NcJ7XoUwo2GgkMHlH1+uLH1Q4spU2QJEwLI7ZnE2npQ09JLpyaLxB
WoUrAaLyauir9luVFe6T2cI4QNwKHF7+w8iN4MKoCmPjxGm8NXx5hh42d+1Z7Ta3wyP+wWB3owaX
3ImsfBVLpL8MvwKyl530em7qAgsWakBDj2W7lVWKr26CB6WDCu0R28LyBCtivjeKHDNgCzL9pTUY
1D0zc7atyfkCfHsUe7sOg+OwOOJJRl53DWG5q449YJB1y3DnLneY/jfsCAVbb6D6earhPO3yxMYI
nl56uaoRqL/HnxJOL7k9r2bC5nSq4wNmxbskETd2BGOZ2KaOPWAf7A8n1B5lYn8XkncuPau5mWVx
AaA/oUtMI1LFxbAZIo2RLvthLU3zrLHhm9NGd1ZZOMUIaMYXUew9JqD0DmBCsIe0FqgN0vuM98iT
XVbVZpRdtjYyL3zoEVeB/i+tkz8N41kFcHhVqwVPChOhhyFrjVWvzAigipEQooZxbTELQ4Cnns6N
IAZ3C/8BC8Ag+mo0yczNTNEuQad1neSiRjvFbBWbS40+2rva3i8OPIq7MU03EFJs8EWdce5i6I74
T22u5eTOT9nYmTcDDpoBSjrw21amnTVXS23yhqzOas9nAJ9H0CXFwRKpefBrPhfPmGszX6E6t+QD
mjfUnEwrIHX2SbSezKx6RhAu/pJF1vAd7Pj8RSg5npVBoI65wqxKxY1zkqbR7Ns+j9ZuZKrjYPF9
GXOuze7nmZaymfmddaxSdOXajdV65bY043I1Gct07yiz2jGWSI7IpTRbp6jRXJmHaBWKAWgiI6dT
OoG2rEy0FOC0VqesGvLmRT74DFHCfOPVCOIZHk3rtjPzXZSp+afq5Vhf0oouNlFDUgA6wlzJ2kac
0S5xJos5OawlCmAXDs3WVCN+fX0iz3yvRyldospkM1o9X3qz+7yEI05yfKio+ZrtsEEjiZmCCfL0
h5XJEelaHEwQWpLPiT/FAI/xpkroHZ1QcLTuDJP8oqib5Aq+CNmJtsaraxRLvDjMuDvQ37QP6Hhs
J+QqbrEYa7/AEcKv01xGsJ/khYbbzPsCz/nj6LRIIMTh8ADztThiiYIPnZGYhyJziD2Sh2zRA76g
zxudLaHDfc2iuYTLEp35neTkGkEQrHElzzcZSOhtKBVPDkroKjTLEa0ZfAFRtLW3juvEVwswR2TF
nIW/Y4dF9/nFP3KQgjuhZW7uFUYz68jwLPzLhI+EQZ9n7lZAbrhC2ZShsoaXNsgEHszMK+CVDdEZ
uYq7hhNDNwuvizOFhguISPzzyIHVQ6okcb3GFRO8q8L70HUQwDLLdg+D2D2np2DczlwgYcLJybtE
jGTQD0jcxzFy8QiNGFzcIijDf+UxskSm3W6kn1hfzMA973ILTw7V1vsuAzW9Il8U5+4ETLglKFhy
EJcKfsuuSdrpSK/XW6siS3a1iGAKVMOdFRlgm/oegZ58RBwkNa9lVIUKNm+s9rJRc7Jn+f38GaGl
Njkhz48MZDYjp9tPFRoYyDCYUGiwJTyFUYncIsIrHe5Qge0kl9MIe3h5nQv9X8H6l4KVIksnOv9e
Pv8cKcDhOZ9/r3J//aV/yudbaAOA3HFDHyc7mzT0V70ahP/gy4WpTOcC+AV5w3/XqyL8B61wuhmm
KTxPT+P+u14VHmr8QYjevfWrzP3f1KvWH7k2KCbgAC4dJzp9fzTeBQNF5uFRfIYyUI8YPYbkN8BH
l50Ae7NPWz9E1eZbZozTsWkdB60ZtF9u0XjrD7T41F60OJWbfQoG87dl/Bd1JrXz+0ITwjgWGbRM
PTIuGqdvE8qpc2c0QwLv6Cu3qa/CMDevgsUbuAcjcmGHDPWn1IIPsE1hSfSxQDS7UTR/JjRbvgdU
xjcd455WbiHNlf7npQGJj1Az4j5O0llfqc57FFgK1eD/qjwDWzbYcuYVGPSgI/3xQKscxjxaNvDG
KtT24XTAqdjUyMPI+wTv7kON5EyGcrJbtOhydwUQR1KTktF7FZ4FcrDgu83ZdpK07RBQlcM2BKt+
jfXWcB/WKHqNsi2RGCvwhFwNNLC+lYgL3ToRs4+VcmST4fxem6je0I+3diqyk+KsF3XBUY5FB4bV
2BPcID6zybFJRoMUY+woNvYyXeRZG2fWfhhE95yaicSoBL8DEKznJKNnTe11d34FXdQKJ2rGbujP
EclRZ5OhDFSXllauCrwLLltHzFhGJjsDf1sGMwi/3BoO0nGCLBUMZl1vtJIQSmQQXVfm4I4XBlDp
G0RsUVD3wTJtx1RNp9hfPuH1XFxJVOvQCwsrTN1GIv4OcoDzjRCXrfCO71YToAVsv3HH9m7J2ptb
lVZijXZVee2SZifISuCdd4FYfCfuMy2/MllGerUs7RaxJHvXgs68m03kWjQ29DhpCZdCi7k0L7ou
lvSGNeqO3nbRsi+TiLRrc2isqJkwAec4PjpaKMbSkjGseot+XS53QGfMs9gS4ZnGcp0lL3ozkZae
abQITa2L7hYsLgbJg9F8QqhhwcHAnk5CS9igKOHtkO1ttyWaWCuppW5woZZb+0X/hnV3dsuLKk6j
BXJyLZVDdJ+gmJNqLlpIx/SR1AltR527Yzds0VIO906bFNveQF6YClbwQAjzJFqiZ3gR65Epuj0M
QNDwIXdFz2fR0j7AN5y1MRUGnN0QvZ5wtJ7smEFQ+aIIRIlzwdDd2QTTJA8IuiMdBFbb+9q9CApF
nIFHW3kZvaVRzAlDKwrOvaptbHGAWyKNZrelb6/dEKu0FVDaeVPEyEvCH4mMO3fq6K47MKKwK5WI
YuIM6W4n1vGofGSIAe0WySnGK/mceT6r52jJUEdl2wzwwK6YbRcD+SBynuHbISOaFqO8WyBWnbSv
JqAZul4XrptFO0hpEbOEVH9dSdCi+Fs4kYKtU4hiY/fheONjP+fu/bz2jnkv78NkXL755N7baOyc
Iyg0FOK9OUSk3jLqSyLh+FUlcyBXTeCRIJUwYK1NnsocKeCxGucVih3+YxX54bBxW0mtUVtWoFBa
QxV/smBXrUrmYkgIK4CSpxmdIXsVzkoda5z9sBwkiJS4agcFZhnIfq5UGttXYBbGG0/SgsEWL1ET
JgFdcYXdabMfbVADVH6qNnays7BNaOQCFp1wcF4mYZHioFCUDxF13i1mpT3G6oWNtHU7tieUX+pu
44vWxEI7q+98kFjFxhpSZ2PW/L7HHkUW0pqTM4TV5AUJfXKd2jTJm9Kq7gK3t9YxBo8bpOnyLeGZ
4Ot2ef6cxb1RrVIHrjnjIulddwCNjC+NANuyJkcNb20xBukWmgYzqrhhiL1zzDL8AT8YG+nSGr/G
QYIpwGypW6tX7WGqm81ieAbaMUOdHKhGkA7r28Q5T0KV7fxRyU+uqGHIRZaX3Og28Odalekt9k2l
dehkF18zmWzwaaECg9jjJ90jmnOA7h3ABe5ezlmxjXCPfErasMU00JrURY8RfL2KrdFFKETQ10OU
rU+uqBAN1GoVNgKrIsYekfge3lKdjbvW97pHD62FYh2H5nKCgSJgWwmcFXN72oJBxvvBaKZj5ufR
F6TsLf7BpiPO85HnqM2sZhOJz9WwJNCjTAT6EM1q/ROT9xA9zdnGh9GkADsLQUUivN+3w3kPZOTl
tR2MIDmHIQVWZBA8pLL8bZd4z5kwx80YOGDD2kk8pBhcHDN8Ma5B0FpctXy22y5kI7q5uJqM5oTr
KyHHLU7xHETPKKQfSbfLFXatcA+t0tgEJgk/HLXscoZpvndq8C6rhTbqVcWHjgtBGoyX7mCba9se
7A2W1jizSP6RgpR5BGJJK8sW0zmAW6dYY55bfQVTpp6VKDrUO11/w4hg2uu85Fth5PUzuxS1MwTE
U0JH5qtgOydRcupqxeCS41Sei6CduhWAZYiZFvMzZ8uQF4OZsZQMcmdppBA60Bd68MD0VtvWa/Nv
uNXE+XYOK2wIYgdO0SbrjBmsc9GXE3gcf4S1DLd0T08KSaNBmfIrHt35AxKRvK7kyXAyylPToWXH
eCyHLLVHCAwmg3Ckv6yrLhEXXTqipss42L6K8so5kmLVj3Md9bt+MMpN3Zu8r8jMcBzGmrt6FG5b
8jNT9d22wNmYXgTj0wcLfxG0nXXqCGd8Rd2MbeyibIXbs2ljbIGFIBsEFOcTjpxfO8PyqGUYIaxx
z2zOsiAy/BVfneGsBN4vyXooIOVujbotb0eA1Ze1tghymD5+ml58g7QEfryS2k5o6LrbONQ2ubSG
LxK3TjZTzSd2Sm26nhAsu65bg1FgOuyWTrwNtXERNG//ecymFonKtkHOeTHCM9/pRp1gurbcYsoC
XePFD0lqa6TgxSUp1IZJ/Yt3EniXwdaVvQ9TLcvUqbUYW69G4kiGyKeDAxPpifwM+w5fJvXi0TRw
6N/w1VKRmeyBCPIohk4KUp/27kir9pDDO5820xjRlOiRfsP1pBDBp2nCIKp+8YpC2tg7D2ROoE1C
AZu09orsQiYIMsJe98tL7Xj2IO2wvbXE6D+2EXqjtReDp8nTHIsFajv09v222redxHzCiGnlrBJ6
QNTUPg5oKa30a2jISXkWNGlIQ9JvfkKMdVKsTGPz2ARZYa6rWtE9E4NnbqahTUR/7gUz5LfXJPv/
yrrXsu65Hqpezrc/4rSufq/QbO1s+O+Luvsq7X98/49P/VP/o/vj7/2q6/4fZ2e2HDeubdsv4g32
zWsyG6V6Ky1tWy8My3axJ0GQYPf1d0Cpuqck72NH3YhdW2FZFjORIAisNeeYPilm1PO1gJuGPZIB
jm/nk52GvtFUIvssctitvuLg3lDvGvpGi5FjFdJ/fRZ860Ja4f+hz6F7h/SxuUmRFv8b4pvz7uik
r4glhfOcQypGRHfjw9GpoqAEmKz0fsLv0Fp7W7haBX/2+3meEuU315AeqQXd0rNQItzwIDMbbWJC
3pHan9vacxlcUoJBh1BGBnfPFEEhvqm8WhDeSUXVEy9eibMaSIvPXeLEKRIg6yfRYot6qLI5qIiP
8ZCSonbCI0eRXctWUbn1vBRCAWV9xz56mBqcip7kcNFOHrVhK1g6XnJa1xg+7NoBz2H07HH+pf8C
aTI73cijxeTz8f3i4Aks2nOoesOfqO5xg14MxBC5F5U7so27YM8NMgbvpqjyv4gYzu1k/48Z9V/O
t9b7Puor5A3Ol01ErT5582LeH2/Xwgl73/TzH4VVaivZ0CLCJKU9AstX4PKeWFS2MhtSbBGGa6yi
uZ84jCHvs9zVn5xLyodNX1IFhDNCkjwnXf7u9y/S/oAOpCke0huDfkTv77+YFBD91PCCGvsxHDIH
ydAgUlCch8FwNC8FdyL+Uds0tX03gUSBCYPHgpavS0Hb55uRQem9Aryrv4WTCwQbyzZwlZycJL51
xo68YSEyB0/YfklrIkpK+g7OXqBtcYi9mxqtyf7DW/tVrA/aC0wVTje6/r9obRDbWUGl2uXRSZGI
EBryijxa4RG03wdOnjYaH8IB1ycyMLWCvTZabXVGa6vpFWvtW2j7I8dQ0yP3hbbLTUHhWM2lM+Iu
/gu+XYTrFbSJdlX0KscsnCM64TNCIJ9xwXxITP7EHWYxFGyH8TYPQ6DF/V4FQgPwUmRr9sx5fFLq
15pR+f+Wtf8yCd/3QFFCIKC3tRUJ1k9ksli8n4PWtLr+4nfGZ5hUPLT2LXHl1a0NgmssY9YVOml/
mlH6V/5Pm/D1kvRcTRvdAv/90gzVlnvXF3PwuVcWM2RYhoEJ1a0D4+MWwuU8mEzQstGOV4RSyItq
RHL8raavyijhCKqGe3baYQIRf3ABvw0U0MYHWbX81FwbONcpkmIQfPvY0m5qGEpAWtqJtJ5NLmTV
6w/CKHKLLxHc2PHBbGEu5gevLJnToCD0KvX70cbj9MubpwZIFwI4Gq7BX5h5UC56IzXn5XOWLX5F
0UqVDs6jyUyKW99eXbnsOsCMIty8Q5GYlXKAV/9KISHXdk6/m3llXkyJcqEx/y8oEndExLBu/4wf
MaVFTmMjIVkUM5yD3+NHZsMr3GL/Djxizpaa1OE3xBGZMRXFcX5ljXS9KPx3nJHJb+38SblVmqB+
Hz4SRoCFTjo2+n9ni6S4VTNzd+aJLMgTS4Nq20eQiAndSf3w/okQEeD+sv7T/xc1RA3TZIINnnqr
uPgXvJDZcgi0ulmddmRKr5bkRPTJ8XH8mruGRD0RHFWU5EgAG28uu3RHP3tAVjd5SZrnpOvWk/Ie
kgZ3/dEv3CyloTiDFYUnNK6mZqj2IUS1TWq4PmaTLJFrsRwnbPJZfpjyevahEdOaYoFFZa5ABBrK
9/rjNHmTkcSTA6TYulViLvglA0fh2b/D7wkc/W44f9PIKcNEGzCrLpdbCRLsXlbVRfZ4WfhwhewL
azaIJIkXGNAqOMxNYdXAW9xRM9ZMD+DbSK6cx0Pl25wsvhlx7s0iL70DETKJ4L5IjGKqQDk7hi2O
pVqicLzzCwf01aaLopSFK5Bgt8snBAdkql+5Ll56eteY6q36hlW7y7wrIH4yqK5J9cut6r4oJs5F
Ow4pE+jwNqe0J2lo2folLSPcHjrRabbkEPw14i3cNpzVvOaLndoN16sL6k2PKg27DglCEDCydgg4
wkct5Gf6l/D6tbCDisds2lsKzrz7WGRwP/w9xig9Yk41lHxp+2wwTk0d6CXfRZsdkr4wDS0TYG1s
2z8QtlPzc+L8VrPBWxm+DuA0YzpEvUZ7VhkZa6fGyvXHY+lMae8/EKH0ODcuByVcRsqQfBRGU4aZ
+7Prwsjv9jLPcZzHU2iBlYvzMPMAJqytqzr1BJNe5RCAcyNb2wMhfK41k8wS6Jec80mL9eQzs7iC
w191LwA99ATDzKM/eW8x+F5FQhjfG0eKpkh3B0gkvIaRdh7v8e39SPqA3QvbLRSjsTdTmT6VnptE
HPmnaOHXC2qOjMXb7EnWPuJXBoWh31wCZYcvQLL1VLfBjfPhRN6q4cE27B4KxaRkGae3oTbOP/73
IJ9/zi8gDNwEtqh5AXDKsvGlzH2RywOV54U3TVN75iIp6TK5eaJ2nLZUu84fVEueDlOtJ+NApkec
Ckvi6RS8cfGpuKuWURrtuuJHbIEKUcacGWjeIt5YtNsrremLcI8GqUny73kEcbVpDN7be8rsXAFE
E1BkJusC6pJ2mJnnj/Y8PfykrBgf38WfDYA0wDIi49lfMoYiPZvKMjfz+ebSdmaQPa5G7qoB60jm
6OE9T6RVLYpXyZvUv4WUxJ7rUI1xmF39kOmXfh5QY51W/sDJmUbIDhNiUxbH1faCWRxSU0uJqfhr
UgrZx8CgT2CV+XzzMbC7F8tPG6YPtQRYnyhHkGT4dz0nGf0LKSvzhTzFkC9VY+rbAbG6HqZG+Wk2
PSpdSs73TRrye3HNWqmDXossj+HKOc+VvOijITi8DXlUjJKXM+fQ3MhHINKWixciByFxGK1u9c1H
dm5FSOW0Q6KYx5h/Ey5OmkErEROhrRqOFaATB34wQht1DNpU384K1BffK0FhFOEeqAdxBZdO1OPc
uxjc1qxryhNuRfE56SFpHBEu09HYIKen9YAkwfCqW1oB/D/guMB/9syJjAUAlUjSyK8YEg4Ckyy4
OmmT7fjkNwmdpl2yrHruTxFLebGfnQ6e4yaUxHmGf+MpZ6NJov5IM1Ku81cTAT7rTVq1LaSNt8NE
MVSZBFWQYT8T30GrQrq+EEXGcByc13umayl88bEnuvv1BOitnYbHzpmyyb8Yzm+deKSeIUJos5a8
oxLTNOmwwNtY5QbA9PydNQs9a7AB6ynOMZSBCLGCMwKWoveHtiXHWWhsJBOcn+9yWvoGNf3V95+B
P9FDQ4yTL3594whL8hP+giiz248eYKOToBWvseGWV0koVU1HHtQxTToc6BsQJOy1KAiHTm1cdB4h
JeTaWKXnP9f1Ai4zHqqqwpRbl76+nwbIJBzB0jIcWCodP1l45vULK02x5/SvBw8gjgZSgMMrOYkV
FaZ970ouFe/y68T2jLrPlPRS5reRU+gzG4EgLD/Ueh1/+AQfpF6S3ZwUxpLtAXkQ1bNtWip17gak
Teg/u6lj8Xb+pp8aLrHMe4Jn9WOj9hI93aQtaZNuzyNZDC1bdQQ4OOIvp9Wrk+BTuarJOEk20727
WwWqr2fWW+aXMYmVESgQROppJMBJdPu1lnoAK2qIfOF03xIE6kd0SEnAmCu/uvX9TizJ3rXbfjD+
mog5m5MdTzSH7La+csrOiMPKCuQT6uqpHD6baUeSV5x4i5PND1PA3qb7EY05cuWvPYhYaR5kqUai
mgx77csnUIK22yJbeaU8DpbV4u7CkRgpSzHL6yKy45FvGsG4CSbqEvP27Z2cP0vtimV4cLJqblby
utxU1ajXvwhGIl/Y/eubF1uF/onm9XiTFLb+HnZAg59Y0kX/YOLAS693JE4N+ucr+HQEcs7OkNyu
w2KJHZK0QN+VSJv5m7cpy56SlQgtpP6rnn2A/6yXUyNFSkXscrCxbGmG9yoLSKXbTCaFy2eXlNXI
PmqfFf8oNVaX0Qe44fDFZVs2HLuVFJ6Taxp8wCafG68LPDn/9O1Cnox4pHVMFeN0PrE1ebHiaiga
odxP5XnBKiulf3OH6J3ZYFSdpgb19Ftcd0uZumtBk3a+Mk4q9/A/bYaJGs54mdvoumWcuTPXCMZK
vyz1esPB/uc5AgBK6Ztc2LrItCXaQ8/JIFnRam5IgW5qFJQEUzN7zwNio/fi15chtjCW994yiqvM
dqog3P3+ePXhQI8YnvWBGfyqtLD8j5pumvlsTkthnzLaZ7zqIIXedULAxTLbGa6+g8CbaXLImHf6
tf/+8u+VFFqLT6+FwrN2Tv83g5eaW2PqA//0tjQWGq3C+Hshd9LvL/VeGcGlXCglJtdyPSzfFGfe
H9unkCSGhK3k33OEjF3SsjuRuO4dWhM9uyM/0x+qyjGwn1oXwLIXvy2Ov38t70sIngkCmP95OraS
sAoKWu9fSzI6uJG59U4R/jv/OffA6Xd7GsGo59eWrfOfxvnXC5KvQOEAHA7CECAq7y9ICqVpEZWS
PHRzw4MiLXniH4MFOtfz2539+zf4wRum36F2lSDVwT5imcCK3l9wRhSXEhXuP7ytGFOG6V/HBzgL
MY+z24cjeWzJKj+pyVmKba0avZ47RGufjH7FW7n5wyt6P9N5RRylgAFhaYQLRYnug3R9AQs9BYvT
PVTnmwoIq77HZ1WSsrbPwzHnI4Aqu3BnRg4PB7YWRqZfSCGcTq3xiKM32Xtw4cjymllalpilvuPH
uT8S6zZfcKl18SQHfdeI8zL7+zfxoQ4UmA5aeITi8PugKP1SCpmz3LAz6Rg/6OyOXBi9m544Vejq
BVgz4Pzn0gODcvz9dd+PHR8klwVNgQ0MSxsj+GG+CkXjvTWc8Aek3Kr3Mc+Iqv+SuYndpJupyFV+
1yQId8HyZqga/sSN+nDrcnluA4qN4DHQzv5ScUu9MTeINHd+sLhzo8beBCLm2/mRfl7LcwNnNqlB
3aJOIK7MlVU7yysG5fcD8f4+0jNa29wxPWlVGvSjDwMx4MosFigW35NobTx5aDuBl25nJHXPVgGh
g97o/v6Sv755OEN6jcQ8hPTjo+UCRTCcxMWUP1x/ooGwXyx/tcq9JyfF9M3RdfjPUjHqPBBfH6ZI
n0YZ7dDrm2L6w0SwPhTjGAAgEZQ/6QHgtjwbGv7h1Uoj9g6RGIyXLEfKZlzAr9L7tnpus76NUWO5
qxvnNUGYYjNjxuZVeSip1KkWHBnjxoDnDcs6q1niOhCi9kONVql/+f2Y6VbNP+qlAZYKU3tGwDrS
HsLJ/371UVMSouJe55f5fDMSyqbvdfO8w52BFLEVxjusb5phavWXXKTq3w4WFDpt3Gazjn3OpWvy
/mWEnc0Rt/fbl6byNHW0oDHCxhk9NKjHKwfSdPmtTxUV3TcQlCQKVZOcjUIXz7uMRo5uKr0CUpp8
rcYrl4d1+yfvkPVxjmmsnB+wqcDrBzbl4y5gRrcoomZ1XvrE1qD+YuhFpe7ZE+eiiadu0SQvWAev
MHp25dS9wnJdjBPExeTYQ4Qs0rheV2TbQJ8bavdNRB9+iJVnGtWDX0fpWnMUpvNtx7ZRLFT82aRp
FiehdGy9/nCbfvAEs1KBauIAjKMRwI3HZH0/8szMphubUTwHaKX0xut87iGHWccQgYHT+7pkOa+e
5z0fMES2kYJzBX81T4PDU4Fn059vaPfjKg7qhz4nADMLhz0LyYdpUc4lmNqsFc+Ck5rsdk5fhu6N
bWUO9M+ecx0Jvq/M3BpDBNGuaCCnLotZ8Cf/Ie3WhHD12oVtIw1FzT6kS8I0mc904VJ5+uNpe0fD
wM8QZCELyOwr/ig6KNCWdD8sZ/T5gNoGDVf51pQK6xmTOQWMgt3Jpl/NFE6l8HqnJ/4UkK0dl7Pu
qOC+15ePwlQX7cKWMictNfqSvPLc4ISGe0d4Na2FHmEVoX6jtMaTi95ouJayTJBJAim2daMfdgSe
SPp2X5uwSdyn0Rz1aSvA9Q+SHVgw/Yffrw0fl3BGH7srzEY2KPQVPjLrnGRpUisS1fNqUaVNN7ON
ZF0TpYu2Ojqqm1gofn/Fj6sR9AbyyCye2xYdzF+uyAmOQI3amb46K5nEXjzBsWH5eyu8+WPHCZvY
gJW1crLV0Kc3wBBAuvyhk6I75e9WRfKU8OlrObVtwkT8uCdbNfvViPz6qcZ9PoDVbzm+/Wy7TPPx
s7JvrJ1Mgja/H4EusE4JlCsUt8LBRtVFyXOqEM/YaXdVcfY+zVRqwwU9qgXgcAgR4MSdt86wuGbY
juRquQlQEiJsLX2zQ2saH9oxY3dxTDRDgTsfrrRzB0kxEMuGwD8AsIffD/zHdY0ouJBzuH7XvFtA
KR/2fKUP0HXq+uCRI6pJf9yT0l6u7HHV8xbtjuteZNakm6ozezi+oE7TsxdwpJ7SjiomOzlRb9Pf
tLuc0/9FLmyQGLuioy1m7TuU0BTGVo8CCYDHCUSEs7EWSnVPMrA0UvX3b+n9Z+ixarCLhzHFsmah
hPzYfKTy0g02euPbrC/1Gra+lsIE2ZjqE5Ym5f47w+fr9Tw4kojqTdP3Xwkd/3jeBzP1KBt49e1b
4WNOs67YmC1na5xSfZ7+q+YqyUIwfUN6yxzdOaxRyXm/cDtTwnQZ8+L2XJigTKr340FJPteu6Ttd
Mvj9gOpf+D9bBTr0gE5YCbQohb0Vf35/wWlZZ6JhvfKCLBBZenFQ14Hz7JNa+sdD2K+X4qMD4uJj
0qXN8PG91QTpLDjI0ovzznX0oOpzkkD7+8d96ocHIL8dhQZkDptRpBLM2fr922pMPGQE3EXfTfLl
/z5Y2T50O0qHTq0bClM4NnVs1q60g01AQFhQbkg1sPp4cJo5eCwmk2Pw70f7TSLyjwHnBMEQAAO2
X3f1v5BZTZNFnRy+/iBXYG39zib9lI9Yma6t2r96FOYhKMw+pesfbepkpY8B3CUdrPqKOhLSoBRn
oiDc4Np26YqZ9yR2pFhFSUhlQ3mbzHlpAQZKbJ5XX/sOdHm6k4XtNgjJK7XaQ2y2JqB4TbagCQwn
nFhW/z46bwZKnzK5c5c0tdXNN2WajSiTKb/5OQggjFSTg/vdD/J6WxmFYIq8lc4CLADMzfJc8KJ2
HLKa+68H7HMRvHwdTaLNbZ4ANC10gWoaQTkaF60dUsFubMVwU/zzVXDr9JUuMxrnqptgZ8XnZorQ
WvNN2Q81PICGQLcm3/oiIGYGDsy5GddR0MEgdy6xvdb2eCxPjO/ahbq8FHS4rI5EWZS+vRO4I41T
XVLvJrCZpS5P42quexY0lCZVUT06FGQj59ZfBjJ3j4VvGrpN1Y+SvcBy7hBEQGycbpuVqkYQQG8w
QP+yKSCLt0lsqDadSATuHFRN9n3URSKYdmnnI2T97C3RuLafUcLoxyHVSUwtt5jrptb/nAt0EOmW
ec5ZZJ/JzrKKuLYoh/610BTpw0vPx7T1bHnzMoS3NHQT8Qn0dlHau6LpDZMeDQvaTMD2gJTd3jWQ
3MGZTLO9yoVsFnpmY0zRELMLwQxLMl2XUU8uEQpOrJ70eaJQsqnKM7M/uECPphffrMsl2yb4cEH5
1EFTyy8NPUGDGPvz8/ptjezYTKf+dVhTUQBjl1W+rajvvlYAkWToCiZ5wHqbeZ4a1WudsgmqkmYC
KX25QnYtTb+2WGHTNuBl2NBXNxP81ugzJ5o2PImGnJR9nXupt8nSdDp5S+4R95JPyQGSq3ORm856
rOU8XtBjax8C6dvxHHnZbQAIySRMZZSfEyb1hZt6WDy5+7KXQgpigU0t/I0snKth5QwH2jA0O+2G
CB1hPrcltyM0bf/an3JStt0s49M1De32mN1d0ebqbi2qwdzZsOd34WI6qMB7v/6eCXWyLVdcSddI
r+qxH3Zej1KXU2x6MbYq2mb4fD4FGAA5FIj8R953ybYi+H1D7nSz9ZKouwxXu94vScMWEhU6aSZl
uDRYexvyLPiVx5BOwYucW3Xg0AQ1C2H5oYTjDj4jKrx9VpjtSbioRhCimx1mHIggj9O8ht8ILPZo
Mqn684Tlf2fag3kJkDXLN61hAPKngbyXONF/9kWQfKKtnVPsGJzoh4UIiUq7JayH0S6yfC+WxthZ
fT089KNLK4ylYNsvM6ECPeZWFL9TGGN4SLLwSz7a0XLk+KK+9zbogl2rxEABPkcAvhkdL/wZDl5Q
b43EwFEOUN/butZQfJpHp9RxHu2V1w9WF5N/3X4zi15cz4FrXvW+pWdoAo+K6vg4Xc5SzTcgfMYj
aS7GZV46mY0mPa9+WNOECnldIe3T0BHG10l008+OqIDYzq31W98XLUJ3fEqX0br2zNysQgJMuUWS
V7JO5XxJHkOXbkxL5LeLFbAQU+yPR0isDn5TsxKXcu7k3hbKvvIqZOJoEJ68aflOulFyC6hRbUac
VFua3ma+Sed6DBBik5TtBkNzKzJXfl3ETLXQZG+c9htVcoAq4yBP0TaDSXK/sa1tN45dNYeWAz62
4nr4RFBO+Qk010Aq9TCkj122dF/kLGqbNEA1QyrBJ0Z6oVmxXQvpBnPjzRm2mTmc7iO7x03RrGPx
rajFukF+VCNhz/HKiNH6FBGKcxS2DGMlTUy1eeN+60N/vi5WS44bgRSAiyYD2DSjo1ei0mufEOB8
U1ll9E0abLa2IZXDguy3vgMf6Jd7FnqfRIF8DS4Gq83uOeRzMJwy+WjjFT4AXbUOhRj9bxCvHyc6
OI9rV6/hoRNAm4quTn8uDMghAwKtdhQol9MgIy8hkbdDS1imw8bMcM34ER4Y/ImetUmDPnqMmiF6
cWbhfC5k0r6M67j+VEzw7Yi55cblVHIweVJsu7kbTlQ+jY03NeO1IfvyecV4cXAqK6Gsg9DhNltM
l2fZzIpkFjkgg8Er/YuAc0As+qY4lJ6SjxSGHF7/aF9aZoPVw3f6r3SMu/uoyeSFtVTRqa7lepX2
Bc4yDC+6QVPnt41rDpdSudN90yfyswTv8t0pRxYHu1tGEuxrbh66rXeWM6irWQbTMZ9mp6WjGDaH
xCevhcYNyk8actFxJWXvGuue/LTiB3oMaep97dZw+MwDPyWFTQY3q2UMFED8fF9FiXeN9tJyyLmI
qm0IpRBfPYWs/Zoa7X2JOOSe+AvRxRwrzb3EkvhVDMrFB+2t67WMXHVFlaOkb1W3n1NnjWrW7Hre
weMMLyzUaDF2SvcuHFMHzYg0fhiJTQHresHVl0fxUs/swbeBQmwRXpeeMwbDzmxlCQWxikRyPRki
vaf/V92SqdA8VYP8xr9JkSDk1lNfs4MpVFDcQqugdusBQrnER2k/w48AjkAUgHlDnUA95vY4dofM
rjBBRCR/XblJK8M9rhqMmXUWii0KQxfvDUrMbRitNbCydcCCXTsJdAuD89DVAlqTsfbNaZDXHZTW
am9hWpuODUiwO2d2DTxkUS5iEkMJxsoiIR+KNB/rHWLEBTdOXrb51gChSzk1SSwDz3jfrw9L2EiV
HfTWw9xG3dxWbcmotRNBOyXlWknyY8DOJfZqlYw39PGKPnaUBcgxWFsgJWblX1PrS6ztRPJKeTVQ
mBmeCJ1cQ1LXDAncVpMF0oaahA6oCS49ezab4vPq4JAcN8vckZx7abPYmcfQRaty6AgBlNts7D11
igxCbDi+p1UEx89IUkiYWD7nUw6D09/YmVt9ahfLWA8TLRAd9tXZ5jXEPFAUtkRhchNULKfEOXaA
2um5XhYE5sY+uTWXg0H4YHFHzpEfrQ7D35hzvaWDWJe6xCNsr74bBrcIBzIl8frbSD/6lvshXPsO
NNti1zvXUpgESb4u/E3dIEDQ5MwOjnu9rCeKO2QONSAm21064UYtc87T22LO5wsnda1wC4o/w86C
hdE6lqkUCOWUFyx4KOflM9yG4dbwojnAD5kAQwjc0qFJTDf5iXwr+WOM2Jo4Uiz2oW0TONDpmNkK
v6M/Z0YboxqljgXFOfMfFsNtAzZmKlxyIqeQ3PADrWnkc/6dRagL/V0mKrHx0s6ao11ZB1aQ7YSN
v8a7sYzRV4+Ek9XJRdGF7rd0HJ/XNUsf00w8pxgnCzJjpvo0TUFBXlwCLZGHh8ki4YMfDoP1Crdk
dSudHMBOJqNYdGIVm4AarwCn69Un2VT+VkofUl5I4MdGjkP9fUiTdU+GNJqqdE5u0L6FRPfO/dRt
Vx427n2Er+kUUH2QZKzShWQ+MGE2FNOmH1Yryk+iwze168E5Y9Fq2pPq+iHdKYLhNT6RaE1gWHN0
JK2q29pNV+1x5XinpjStXYQ9ivxIz7ixy9m9sgVyujbtkVVGHIu2tp2M3xoVqANuM7vamAEP4a0Z
jfBrhOW3txQfJ+qecgL70U/mHJPsCC3F70exiQD5UoCmmqqOPdlS825BfnFaE5n/SEhw6w4Fyq+t
5KacSP8tgREpm4d/7pcVEfbsL3gJyQNPnXxPOrofq0ZkT0WeWs/0hOc9cvLo0JpRvQ9EUNwbhSnj
sfazLxgNH6uCMlLKwW0f2EnxtZ3socWv1rZfHTORl8p2khnG9FyEMcYn9zIR2OfK1ER7kc9jzCHc
uSs4llyOk5V/LzMneC6T1PoCzGO6Ji6NiD7RtUcHMcMTshD4JKxpMxDjwuxufOIu2beyOOpJ6H53
S31IX5paP7Vnu39px9DId5WfI9FD5oAhtiGevY0hfcykwVVrSxs7mAorBklvvmbvFN5NJXr7JcND
T15QxWvYFOR/h3HJ7yUi2WdOZIvwjrDg7YAAUqrAkr1WmV7Woh3+Izi1ZXEpHMd85sE7SYDh4TRe
GEPpbwdRGBdEbNuPWtG6t9axBLi7GOLO8+biRY2h4PHAyXPfqgSdfpt4zjWiMnklFhBbG5mypbme
eyVeSpvwkrinAT5u8rGavw/Dwr3CTck5TQn66z9G9FS4hItx3BHJ61xSw08R8xMzyWY+8MafMJzH
ZF8H2XDlLpzfNgbbkWFbJZ3h7YyupmEAmdN7gqVSfQ3EOMcldeZtZRqdeaumwDqh+woj9Ors4Tb+
MGXVYWJTdcnq10y7ucvw8XZzxNZTrj1mYyebLCyHiS7jwQPwxE4KEnU3aKWZRNAL6qxwS9KwRh+R
T13GRckmjVwsjrGAVJYut9lTO02yfml61ZR3IFWnfsupIilZ0iK/XUUsLez4EG8w1Dbuna8cMDal
1eXOt4qas9HEoxHOOKmRcpWzeVNmrd9GMaft2YXIs2Y1XKWAB663bDOUVTo+jlaQu2ybcUnqEkB8
Qkkn7klltsQ9OHnKmpuZHlGk9lKJLv+SpqXbplvS4iQCH1xCToPree5aUKcpe7XmqDJl1H/1XT+P
3o6wqLxudl6HCuyUmDaqoINAwj80W7m4hlncF0qUfA6ugZBfFRsFNZb02JkIYetnbUSByTj2RbNs
IQ3MIP+lZ2ens4zAEFoKM1SRbtrbVjKLqwjsK5VrlKxaR8N9uOLkdxNz9g80ZVbut87qo/yrElOm
Ee0hBTiDk21STD6PCJbj4UllFBTC64EN5XxrFpG5uLFKe9WVBKyA/B1jHnlFW7w4oWrGeutVg1qa
K0fx9tYNrjbgdzFybKdOTs7giZxISarcuXNpKtXhJN06+cAeh7ND2u0F5kHWY2NotyX6+BtM2wtb
dxGxYi5RziYqdA/5ENSQ59AHjPT48xixvwJssUub2c2rnZjQgkfUDpo2vF7Z+oW7BEYOYZTkhUWC
yHC3i9xdsKyOe0CRVj+JUFWPBrrvYQOyyww3UFTndYcOuv5hNmB/0A8BoCh3rd9H2RYyD5lom9Xu
kMWtvgKORYvuMsrT8Z6i8XiBQiG/BjflxKBz1E1hLUu9E05NcOkILMjByXaCtTUFx44tHM7WRizu
BhZZ2RzkYOKvmUMBoZf+S/lDrCa04ES6YNx9nqNqOzjr8tDnEE3YIBjVjh0oJ8SkEB5WcN8d6m1S
h/OLsSbzIjZWOnXWQ4i509tOeQPHykRauemLkaNBs5LCvTFlYWUQvpDuX6jMK8cfqTHrigs7ajzc
K1SfPf6xMTH2taLX96jsLmrixHTbFmaF2V9YUJC/gilyKVgGiZ22MQXFXDvPg6W/rUPfVFvb9NTw
BVEuKREbKUihjVEbd0QuKMtG8U5x6zbl5I2rvWMffjMjBZs3k1MGu6D0q0sj7Vv6YAoUuYBKIGpE
xfaiSOVpYDVsAmPIDjQ9+WCgT4HDmMPuohNVV8SKgtnLipSWuZFEn5RhtrzPVex9S8z34DzmrRsB
k9gRVzD9NJDVUzwsRHptsAz3zxwup+xTUNRS77ocO79gB+NfSgKf8heWSHjoDhzpB3gSyQ0GnvRH
CneAHIRpnTFSJKRlliuhvxuRm9Mj8a7qfpK4jG8F9jraTEHdspoGNZ3O0oseLMqHwTYqwA9aFC3y
7YRq+z+T4+Jv9MrevWjcooi7SXqnLknb/WA35hcffsImCnDIZLJaae/167JBPLHc4vW0862t+hFF
SNXQXYvyMRqPqS/xTfTNilEpTQh6Dyesz4h2OQ3HJJAuxGYA3QlAYGB4JCHPAcHBziehCjOIgJBd
J+07NgXw6W4cJdR1altjuAWnKUhvR3r8eZqDAT/c0PAu0akGz67MwnRTswG/6wy94+1JvCFL3FgW
wJBlEiGULrs82/JAL/AEUC65X2sqAJvVF5DyyhHrx9Yx63y3ApynQuFh9EDQXIvt6Ii/pj5rdnbS
z8CpvOVrwGoxXs1DI8W26sbwoffkoLic53UcCHKqQLXd3jhVYl+BbCgDBOzAmDfSSqIrEmZswPR5
CVFG9Pe4SIoYd4L9jZa6auh/EAoZwx0rZBxgH1+2alogylQSL/tOZXlYsf5Kp7oqLHvxgIVP3pOR
ZGK+pXJVkuDotvWyqaBRfM0jtLgbbNUSLGHUmzpZCof8Gtm0RLvE9ODEWUX2GYSOnGKem+zq2J9v
M0d2oR43/25yJsrQjt0mt2FVO1869L/phkCFr05ft1/kAEsvyxtqjyQExyGxh0z5Sn5NyY5J2VvN
xEyy87iRCm1AT93luUmVcZQFN/VW5mVwN6ihvRyw9xNWFcBTl1RHjMQMn6gYwzVIm9R/Efbq7GbX
7B9GeAnHsm8HOy7GcNK7NbNG1N1Q4gn6Przonazxt3Br2DjV4GgP5LSM1QMu3nwrKW5tJVPdjTvH
Uzu2L9ZVs7QZrpXJ+pIly/wlSgZrI3plorvyyl0dVslfGN7MLcC24fH/sncmy3EjWbp+lba7Rxoc
MxZ30UDMQQaDVDBIagOjyCRmwDEPT38/KKu6JVZeyWpfuVBlpRgEAvDh+H/+waHc35KrI76VaCOf
VT5iesrIg6Nf+EzD3rkdoZ9uJU4m5CN0r0jn2rPs1CnwnLZUBfNgPruhklLRCCPfsh8QSNQ5jb4i
luoIiqbcDJVWPyWAHVjNcFCp8COevTES5ZVIb+NLEiHq9w1Q/b2UhaBFhwYIl4y3qQP9r9f4hRpV
/Y0NKs37Fb1YKBDPnGjLXD7URlMa5l2bYPY0rvHoXVjzdYUuG6bEOCV5Ra8BKlx5Z2AqCdsJy7SF
HKGXKiSgvUoUYYIpATYG7WMQj4P5ZhYExe7wvspbww+MWm0xwuhNA5N6JjY8a3ptUC4SV8RI9pGE
iJmy0VEnAohTq1bHfYcbCdIQSxvNjWEUg/PVKoqFZlbJNBtxgrKXGKAVdR4MWuJkrDCEam3A/kco
RxkP339Co82ksfCYNaFDRLL8U62UyW5WNFqRkKwbOUwpUR5zHKbw2GUYLPJGxiB+RNswCWe1uu91
p+UIE+ujVdfXJc6yT1ZQBB3OffAN4jE5JUnZkDyDPRPOtmtV6l1TfevSuRcTprKhjCd/KA1KMm+W
ESvDLoBjlbg+iPXyTQwrVN1sG4Vjb1dPnRLOmunFgZPyd6g0bQvvyrbhwHxMJlKWLPwh8cXpN79u
z/3M86NraFvkLZBmBN2OBuwi+P/RiRuozGlV9Kt/5qVcCAikpyyEWN0salgRjR0ZHaKEXh3x4ovi
hBbdb27g5/b2cgNQRWHY4VFOl5Cm0M83EJsTBIYwtt/Tv24g/4t7nKdYFVF2l/TF/ur//sfN4Tcm
fRwjdJ7+/wif/8VV/vRn//pO9x6vvrid9u+4mv/1kX9YOaDG/YMcTxZC9Tuz5X+tHBSx+Gr/w7wB
q3hMnCE5Wxp0PGEvHA2atG30f/+PbvJXpGWqKmdx7PRoUv8b/g2QpxgcP3SWVcCw5TKau9jyLUSX
nwdP1DK92Hf1Wzto7Os0GOZ+Qn9Se+bMIj1FhFivaPsdLEpA4ZWi6tekFeC1ZjnZttOa6gYL1U57
NqM5PYEI1NGxotNi+JqsRnPV1cZ0perqn9s0r1dtiPFNBKY1+m4PdOvJNmlXI/4C/ZZ9WTx0elO+
FH3Q3801oRPM9IJwmXTG6IYdth42cW5AO8A1lz5C2neeLad2a7ncItSbZESvG5YGcYKTPp5Zc21r
E7FLhmS8C8LilwXuW9JlDTv6lKbvWLFUd/QA+twbhny8CwKa6Iv7Mt89p3IFpgD3tPflVBt494kO
6RloPH+rN6bUDp0TTmc0n9W0D+mFQcnOpxFfFm6wBAmeiYHB+ybHANiR5b1rJOHDnKT9XZXBFMLq
DYlVlDsIWfAY2iYDfhCA5UXlJ/jEhztAkfFcO11K6pdRj62ErKs9tlK29ixXQ6CWbbULhBl3W3gS
oW5vHTRyIRrVWJ3xc6ESLkB3MJI5YXaaF8JvUZzuUUaUHWBkWEWWn7CwFDgAUQcp2fgEhdFo9Ic+
xVWrhlFNdWzGQT+e0qqn9oYNENcIRMuwzjfSkVSJHAh1K/RNJUqCu0BMCuaBpWgGny6brvEwO849
N42q9NEKGNii2aU2gwiOGnKyYFUZTb8MHHvezWNCv1D5ToxLcwvm1KFtu06S2TPlSbtkvTRNP8y5
lw7a0IjnMIg0bX4Z4wVTfm+Hqs1znE7nOQvuv8/i/yx4v13wrIUl84sFr4QK8F/+a11mcfFp4fv+
0X+maZh/kLYFs9fBxgZ22bLO/NOd1PhD1wSFgwrTD9uGJXzxH+sgFqTYggjkNo5KngqktP9dB/U/
+FEOsRBgTVWw9/076yCE3Z/XQZQBQJu6ywKIXw4sm2Wd/JGzRVhlDp0n2Y2tE3Ead9PIXmHOgluv
BjN8XLe9VGH0IWu19oE2hca+0ArX8S3iemhHDFYybnTku6APMACrnZIBheHhB19IpY+oN0SZYLg/
BZGxB5cUJ9RCxr41OFR7k0b3K5OWvu/jhUMwJExGj2pt0aW6zo0bBayKjSNfpAqOvO6Jh8ejqhDO
jcBE/rXAtu+Uu0DOcFNDy/Kgtjtyq4GT1ms4b8tH9ACtaJrE0xk8xL12mLDAjpB0Cby2ccaHcDTd
ax6L8QHiD3zDNAfI0OVo13co0dPyUJpwKA6WazfvDelGl6zIqbpFBI1WYMgW+3RVOaWT2UEnFycB
yCSuUdPG0cJ6B59MXOCuma82FfC5RPu/0/tIf5wHZzwXellz0lDhVFh5I06hBncaOXYYXGnN8Kur
KuZAbNOLa/B7mJv3BEG5RHFeape4yeSLHlQqABz9ksYzICcdc3obr1PI57wu5AZMXIqQXWRcTdVD
7ZJAJmYP0VFlemwffGsj5ZoONhkvgOh8dzcz597rBhUqjxHnxwJVwUlPleTG6QNYJuC2t0kQ93sc
IFPMwm0+YyvL87RQX3J8BmKwVoxr/stfLxTbLaJSwjhwr1q3vGEiicczr7Rpnq2pnMabQQaTYJfS
cIVXmyyN75Vc4yuUU8JvkX3Enw7g77wYt/BchkThHvHDweJjAJqEiqfYIS4nbQ6+JdM8Up9qC93t
JstnpSRLa/6IiH2EetAX7nXKhod2bkyyQyLL8LMgDq6z1iT3Nou94cFnUnwpcu1S0NV8wShzGbU5
Ax1otgs2kyTUb0k44k8UF9wbYCde8yp7Lzb8/H+77RkNWt3wZl29hY/oTqZOK1B0xm1m26R+ybBh
8ClaBkuo15h69iDbd+rtIVyrrRSnCJh8WNm4G/ReKeGuehyL6cmC/BTToUjok9C2gRy97hmiFkrI
wr0pJZzQnZ0E+l6hca5j7aNz3/HcxTMYRzA+6LQtodwPOSMmEF3zPo4GlwRp4931yziZqCpeEKuP
Z0dv9X1udvLF4ZxDSxvWxdY1NbKlDeJWsNZ019IQ8gV+RHD9PoRjxeb5crI+ErYhTskySAOrR6yq
dzwSmp7TeQyZCvmsUSpECVmiS0rJFRo8D66Fw637MnMYMJ2tlsesWEI5vk+JLiOfz4qJR/GnCM95
NlV9H2M38TLbdY0IGfuWldVZ4mIMZXClQYTFG3B0xMm2IkMlq20mp1VO7ppOPrS1yBx62hA5X0eN
iaZpRl5oxRmb+YAsqIfxwyRv0p7nA8ApLj1t1u2kzqwgBpTFvR2V7g25uy4BEMgBkVtP/IZSigTO
kOIspA+bbt45qYgNoVENs2fdhrO7guli7yyzVjdqlrg3ZjUSqQDIXXtYEPF99bHGbXhupi5aY1HE
DAMH5oZmBJgPYEJD9DA1o7wNE4jKMe2IrT4xl+niGXviKRQXQCbj9xhwGfZpCuyFmlmDPReICyB3
xxPMjfFBLiADeHZavaRqUO1c0YRbLBS1iw1ec6IxNwQbPFDr+UtDIImxG2mk7fWZLwythhGFEwUv
ChtDcQnUeZYHGGgmXIUiz6JDHhBClKjksKCTTdHEDbyljCTf1wa0tl5DBmFMBWgx6ZhbM6+1hsn4
qoLzxf5YCHGpuklcEnMayDCs0bd4OTSSdCOa1sXnnVFKtCszIrcqFHWlKy5YmnE/8HDCYN27y8ix
BVSBg4FBB2gsaSnvIZyBbRyZjG5EFxf0QO61RlSZHA3Z1btO2CruI8uYh03Ih9SW7wyfexn/HUfi
Uwc8eUWhavM91WXZo2UI0g4zH8EVwbqsbzV9ANho+jIe3alxaA077lXRZ17kX0ta0ghoofAbGUpE
VNTdPnEawiioNgdgYKGIs2Exu7IsJTakG3i8tAY332dc3jvGFfPwUeD3atbR5vvKWqKpsLYD/MWr
wCyyuA5hOKVPJgA1xofGskqJnjQFI2rNVxd3FNDkKr8XEb11BBTvRJu4+1qC/XtOhQbYm7C/oaub
zeIEesFCllE/dL5TOlIAI0WFiO4gzk3w8UydTAIRdpQQXkhLmuSCcnaPOSndtK/tAHoJ9G83u4ft
92cClcx2/KxVwitbab0rWjPnFS1+FF4Kd+lUMifhSrDE4No50L7x9aq23ssiv5b4bRw4IHX0kCdn
GKlD9PqCgGFfustGhIYku8RTKI/sMc5ZkKkbMHd7fVNXeuzBDG1PpqqXxwarC793wugR4qVJNEoR
fIUtv1a0sqJqd0HxWxvmRcIcIDUSX9ZhR2dz30SdPNoJhjHBWY2M0nfd9qmouo2UTbVRkGKcJc3O
JLcfAg656hM2VNiie3aZW8EeAX7Oqpowww18ZWedI+RKqjJfocSdC594PzOkjWIk+JFo+U7gkk0s
tiEd8OBU36SFhrWJHc8btRuHAzYasNsUe5h6T6NbPm0ma8rsHfLVGGZg05Exihuve6SDNd85Y2sf
moRoaDseK05ZiiRBbRCPhujLW0W1irt4Tp0DHXRGr4CbgXkfJA8nkUuMxqh5SWp3YIu9emvroap7
jWKOr5lRJo/4vz9iHVtlN0Bhxn2VAnSDQcFexGbB3Tig8x/NVLvfIqfN0IFgiDszyNaVaceQq6d6
MymJu1P7ql9NYwug7Mgx8g0jIXpGb5JbTDiS6ZbnZb0nrQObCt0e+3isruFFPMLllZs0tuutHQxf
MT3xzTixv4WA8A/Yv2GVkVXahlYN3bvWrO8brIcofwprbY75+JZ02kWByebRxG1uHXg+9/lMDllp
d/kGdwRjG7i9fSPdmC5e1Vwql5Bxr7aojNZER5S37RywRKU59ckQSTp9RnDokOcdtKZWdqZbNvvU
RW9RYoLu89CKdZ9W5he0IqW3EFXWijtz5mbFIjU4T89Glaxsqk5lTsUdm8BEydcXm9BRrH1W69N9
WOq+XujFTlOaeussO4Q+YVA9hm63M/E497CFVvCEGKsV1HP3FinmfRfnmFsUhfqQ4slygxdE+6iN
mnIDCzOj6e7Ap/UGatdvbU+i7SrglHnA6w3mRtyWzwnlO+VdhwiT8a2lF+IxnJ096MpJtSrVZ+e1
V6jTYG+Y0yYp03w/0Oh+VdL8eVQqHJ7xA8z9vq6bDeJcfCkme0He57bb0kOMfBPZvc/iH66wR2Yj
CqN23xfmu0Q2utZagWm8VLNltRL7Kan116BWZbUCuxifqYjXVNc1lWCsFqspVdN1WxnWZfH2O7Hy
1/k6JmkV/w/N5iQ+6ts8Ik6g0Yh4MiHsDTe0wm0we4Q8bsdCgj63WrWm+tAPaSbW+KHV5EjZKEWT
hzgQJBSLBEfLnT03ffjO4h9CGSbFBHqsXAVKX5D9HCFa98pQD7Z4SSosTHVs7Zy0G65K2mgO2x4a
Si/uBLmzsuUEElVrm8bXLelA8SrW2+EqAZz2M2ZDngsjeDPP7Uz7BrYLNo/xxgKTeRzC0WGI63lp
wNc1l8KPhZSuxRvSivAmrPJT1LfNkxK53TGvnVsrLSC8UQ18yTtNfXaHBjd0NI0wJtKqmuKnxqLX
QLKK5bYHBahd63asWu5Gh/RcDetEENaEt7ilA31g9U41S2AFOve4dF6CKmNRD/D/QqqlDJPqBliB
1LO+xWe4nE1fy+ASeBhxqEOIzZza6S9OlLPral0yWb4Dnwwsh5iY/FipSHM3aUnJReMubx1GDzz4
tdlRg0Z1RLVVDEQBeNaSXe7jf5pNB1XM48OkDeJCLZr5OS2KMxQq6rMfTvznv8DCH4Maf5bqmcvR
2eRgr3GA1myO0Z/w5w6tdSzbONkFJa2qFVHV+vg0G3PXPGNBMlcbI3epRsrChKwPbYHN99c38Mnh
9PsdYBq63AiaNe7iEwQ/RJYoEamEO3NEX+kFRUOYcQcdXzsJpYlCis1AbmM9jsJji4FCsZakBJww
WxAXdFriRM+FqvLXd/U3jwWt9+JAiRAdsZT2M6JQ6F1Qwp4Jd4VC6VeN7P4YRJXUpD2HY7IdNSqf
Lp8pjhRSqV5+ffXvYqUfgN3lYXB5pJOORQkuPsv4islOIXqAIppTxlEoEdUEB72pnDzhhUQT2phZ
x9T8ktqBshdL+V3gS5sce6OS2h1ODX06e2rahtGOFO96J6tFXtoEJmeYAprIbx7X37xE3GuEaesu
Pq4wED89r94NY0WnI7crgj6HpQX7v/EjK4WuXKNWhuslIeVYY1O9ggFPD1ULVlFFnOXjcqwfcmDT
3zzCT9g4jxBC3QJfonXTBdvwz29QMStlhlMW7epEoWy0FGt8aIGkrg0QD2ln0FeBFDSteTcESaiy
53xRDGWdbQV+TZDBGrmcwXiyv74x/e9uzMKrHtE5hnRLD+BnsAoriXrxGtxJK6RCDUvOXh1Z0gDI
I1WR3hRf6Jc5xn4qKVtXULqb9NAbWv/QGb3beBFMtCsSIk7Lxve6WOBJtlViDlGhQTw18W0NNXeA
gtOrF6wHZTozeyEVUJra9djdTgCD738dSuN8GB8QiS2LEKqDhwhJFKEyyTyelzrulYQGxtbcOClC
DltyAvr148Cy+qcexvKe7CXtXYAbIBb+LEeMhFLFkLGVrR6ZrIFaSYDFwemWo04xcvcs/O7NpDkw
rgoN311/zCNua4q7+cvoWjytUBecTswZxWoCAM7yamj8ibP0FK6/w0O6JpeXXSegNLiOhvGuDEHA
/NiWPXrfvqp3Mw322TO1FPDGSqeeEcKB4P37l/0PEv0bJBqE95dA9H9j+FA0r82Pvbe/PvPPdCz3
D6YMPtcupnUaCtb/RaBd4w9LYHxAt83GpoR09p8QaD7C6HJVjaXghzxnXSfqWfDTWHrYZNWy7/0b
nTg8WX4exYIFhoPjYv8jTPyWPitdq7jSDKl1xt7MHAATE71yTcTcdsbv+pCFlbkDwcMOpByG6Z31
x74xUwMmpyPE8FCWHR5MjVReMzuDQ8meeZrx/bpYCcxhz5KkMYaNYZ+irG8epqSPL3ljovPq+nif
h5b4WsoAb7/ETg6OZq2x4Ki+9U0CHg5+E3txMoyQ0To5v2FTqvgx0ZOaH4BUfuFEmx4gjBTHwNbp
CeoNsE1b3BLeEFPFBnAMkjw6iL5B0BDnoNDgovpKU0L7gDUhmxKZgncge9kWvIuJ2oQ9ET/WqN2P
SueivUvVW0GU4e2E+xpptKVOiQSesRWlFj4LN3bZ5dOzGOHwBZq4QC4rV8KC+VRUcHc9FXn5hz5R
OQ75UleJvtB81s8W/aowqF6BJXEigV9VZ7TSzEyV78PARfQac9sqZj0vujJ95DRqIXpnj9zKfEx2
SB/p3xkDUK090VsTWvdUOnEABSca7tsynt9cIJtnaI/6fYjoboeIoT5ZAJH3tCEwgYTxtYGT3h2h
epLIpXfjCvatvZF91m9tkfI1gAg9Iy0yvEwHZFip0b0rru7FtUn6riuPmAntATXGdYc3M2afZbFq
zOA2T2W+VxxlD1sqpe9Wzk+IF6ttVfXmB0GOMPSSNkbQYQxbHE2DvYa9zBmPj1nbuEqSHsjTCpS1
PifdEVw/uYZT7L7YFVGYCZal8Mat4Yvsh+riBkZ8O6uWejs0KiTYDiHAE4bZzU3SqdkXozTkFh6P
5npDVapUaBmHzzTT9fuZoJXbkA1nM9k2OgBFOvYDnjICqmFbEXrZ6P2imFTPbs1YKcPWCvxkNrK3
DoX9KSALYEeRoB+tVmZbvHJgyDp2/FxhfnsqQmnewzaad2M0wYhVev2oDeZiqFeGd1hnNpdk1l22
gibb50q3l0WwsPkL0zlpFEAvBbvObRUaKdBqJncJ+0IOctxkm8GIzLtMDkctGgyGI0u/orYcRsL2
NeoclXxXOPprTQb2K+qqP0E1833IqdQjc83cl2SDbGx6p6vJLrSrbqRvgNMy9JXQ0F5I1b2UvT5f
KR4meJKFel9GllWANGH8iK33cuKB78NJRpjCHxSrekXclZwJmSGqGIdN9w0KTLQtej4UznH26MQq
p01dqdfwVPNjEvISB12P91aHLsPBPfSLrTctzGA8R7w2BRoti31IS+tAQtO2wGTMR76dk7aUJek9
jaPswQyynTUN7cGimt7DjILFI2kqdyyWL23pxnsbo8gNPPFqRRGA5qDguCgb1fhzhnft6ylBYDNp
JxiFmekz2urx0S6kci+1vPR5oTYulFGKiI4e9Fmpx82QWdWxqiEcAjVtzDbJt0GDCgvOVYaq6L4P
gv5ZIWJhleJqcZ+oWLbSIFMbPxvU/lSoff2mt9BOA0NdIdmwt/TnxnWfiU5Zk+fjPLfkQUgU0DOB
VoM9lfQCpvBubsp0SxoTIvJpMm2/7kdrYSBhsxjiYkVqdgPtsewIbXfd/jGcJ4PEptSFyliHCE+U
Js4InKvVYygreQu+humtUJ4TEGPHI3teX8eZa3usAKrv1oXlA1g/oS9R95kKx7BUk8rTkrT8ltGr
OnKmcO9NmLr7pgGz8VDTtffxkhVl24Vvwht9tRJ7BG82nbOKhrj1JSqMU+8Qu+sEOeHtWL9aa3SJ
7pUcHPU0I0d+qh0jvgFZ/+rij79jR5x9WJL9qQmNmKE0JDdNQjZzOynuTd4Z9bklvuk2UYcKsmSc
IYjJ5Zq2PzHYLkz7mUbO2mwq/Skdco1AbL4lIEkJGSPR/sSArbsdTFe+GgCabC4oIZ8jqAWPeLCT
oWrFpGxzzA63sP/pp07h4CsiiM5CxCziGJ4R41uNX1QygwjfM+fVNLVy3Yyac3QWhthqzMroTreT
gYEGXOIqhokOVe3m7RTq3ZY4whYgapaPWYf0W8hkjUX8fE4hrqwp4xEuTa06AzgrhYFsatxYVdmf
RB9qxPKF6VcohelqwLTC6wXbbcwUP2IDJXdYdYyll1a1+5JaVrzKi0F9zoI62LEyRcQyaauJ7vh5
7hLlTWIhcpDYwGwQKzV3Ii6yvWkouLFiz3mfTYPzGA5OsMEjSP0S9TGM957DGiIxxdqQQVWf6qn6
VjQzuuC5Y/mn5J3Bp0cj3GJPJcBVHaS9S/JyoWoQyAt0NphsLvEnAGxFh3Y4T2P1Hlob8ZRJkoSX
zqQQIe0RnZ5f6G57X4VVtitp8BCmKG1K+Lmp4bzbgVN9uIja9n0W0QYaB4WkpnyN5jA/932R7lqz
ezFrYFzWWvjHDlXzt7S1XpAPvqpB92Fn8ws2SA+FgMqK17PkelW+r6E0r+sqvmhVKA8ysu1LL1Pt
miZD8QaHaXyqAz7Y0w9jqNMFq9MDfchY7Q6yaqq+3WbWiAYVjNSkFw79P1XNdayVrYGiIY5uRo3k
r24YO+dctdVkPTdW8NFhROiQADHw4pDDa3KjoOv1g1Ld0gGUMyCZBI2SlVK+SBZQai+3X4kxSDdV
SpLIwVGAOJoh0dAY6inRl1Nx6OrYfiFbtPqq2kGYnIMxyo52BAh0gdYeBduMREvQbkRviBrw0TGT
dycaG+XRrILRXIuIRAqk9Mg79xXHulWhqNO2dsti01vNU4PXq1ePREYTi0LLMDSe4BgOOyuWWODn
bXfiJ8eNu3QZEDIe4tq46VwNgERVStNLEdVekbYoO2qRx2Im4jGCIXZgB8HzWolDdPHk3gMyTqc+
CqtTzds8zC0mxlE8vBo4HR/qBaltDKXbimIEnMUOzMNDQeMwahKXFsf7NNhgmInlP1lkO7wRDOLh
6Dk2nLz9KTDAl6NmlVRKuJ+NsN0jbw8ONT3vQ6uiABdEtIMVyJsosBBq4tv4tdMJZoacP5EZ28cQ
2DmpojUP1nWcleshMOSIrVbKRhZIlK285l2nSo24NS3fYvOoftC6powmABN9pAefV7xbTmE5T43a
FXbz1hl2lZqPQYVkqAVKy+L8P/zJfzAef3OIw4VyOdb8/+lED1H5/ud/7ZvsteBc/AOL8q8P/pNM
JP6ALQlnCPuhT0c5Yq8c1zBUVyAug+H9Pwe5hVKpQb90FsjEUC2Nv/oHpdLg19GBWjhES1LWv3GI
Axr++RBnOPwDBxjLycUk6V9MP6saZ8LcdcudYjcIFaeo/OKiDIzpHrkA75r5jOVGf5spkt5BJ5+z
0FT26mCftLJD/cxsIPG9MfJ7F8XyOevUK/TKkMY/+phNaQzOau4UfV/TQfAN7Ko34BG4yTX2SWI5
7GmjOCfjUL+6en4Lg+5WVwYa2TJYtWBo9E9z08v6jn2kjj86tYtP+aIwrWwJab5AfakqDtx4Uxs8
KIRHRFZnSzQ6kPvwik/ECLsO8Z9B2Va38UdDObjK9XBa06M52fpIzIeNKCUsPty0uB1E/8AyFnko
ODZ0vm+7aT6Te3dUQ34KTI2aNn6dJCIy0o/ezDY9IO98K23rmbCwTZmBktZ5pD8xFXdx7YAdq0z2
sgkw8lGck2j157TPXm1Q8Y0aDg9qnd4uT6DNKcaMNPuAIQJvIWyTjZ5xJqQ7S4Ua2vgyDz2eAsOD
U4wcCDUr3NeZ+zYEqbsVkbGjY3xMO63czwv5SBkaHgy504YZH7SlTzym48WKpodBUrfo6SEcs9e6
Sl5B9U82ag/Ls4xmbfCFUJx8lO10NjLe1aS3pAZLOkxGephZhjxEALlXkIoLaMWDwqc2wP+AjD8w
0mhNGYQbpNKXgNbxtA6V5VlG+Svq9MFTJzpl7YBMf7mWNPgBpZrPHMLOrTZs2WCOwoHtofTqUdql
4pMB+qFn/Jgp4lv8QI4aL2fnlCjtk5hvWMLUnQPM17LWQojs6soqbbhQT24rNjMGpgxmcignTNqM
Cktvc7ygGF2NUzH4+FC09J/iV0pFgENtfHPK+dhrYewnEU71aWU/x6P6zan0Oxc3Cd8aEBxp7W7G
32IHYfgyg29A6UIFXOu7EAmsp6gOfnctZUvXzUfoKtF6GHifmAXqB1ho7nqcF1WDluuwW9QrDoVv
rj7Qyh2RgLRhdhB2f6nq7oLH/EeOB62vWmUL5D5esB5GOha3cpOhJFzPlhL5FJfgFctzF4V1AkV6
LqsioRYzT7jm2BvSOi9kheJgM9oMRd16ps867SB7wf8Q40lqivxKgozr20k0rfAz6InXYdhlYxj4
U2WY/uS2/a6yp/5QlWa/b3LL2Y+9otyl0ZStq1nmd4Uip40KSoN5RNX4hOXqb61ovmJPa90IBzSc
UYOrioHwBmOClZtXOlZv8/CKC2Gt0IzSMmubGFVxxXL3mo+K1a1mA/koei7oJBH2MUX6ld5pjzFl
th4jLJlnPV7JdqrXlYEuZlXjaZegQ61DEibbxLPs6pQp0bkoDXZYxbiiZw/R25omNvbm61hM9VuB
FRezMomQd1eeY0+JJ2fXwm0pR1KIfvQsWrNFfsTwnxPtrUTCTzciJ+m7VzG20MRGt0ve28QU6GaG
YRUIOMxQGu4MFSX+qDHoptR+thXr1GnVsA/6+gNZ0tGw0sMPm87fdLQW/PzH3glnRg1IDzYqlFUA
uU/4egwpGhfDtNwZvbI4GlZEo0Gipsy/ncn+/U3n4zP1dLnakgtIXqOKL8Rnu0DXGLrCAgvYhUz1
VSHSA24itOXR+/zmSp9bUlyJ2FMHg3EVT2osc/jeP5BcB9se9SSQ5U5r01d3cVdZluNEDGBJjUcC
L/+mbn79LH+2yTXZEbkmFrmW7gh3+d+frxnqmKU6TVDsJoKTOBP2l3JkYiu6sRtIJ0FbyrKfzce6
YXX79aX/pU/y/do4+dFdBwyhR/nztUHsB4SITrFr8lpfJWXunKcAxxKWiyNa6HSnuuPbgOZ7kw49
IVJ9w7x1Maohh/UtsgKG63zsQto6s27uXAi2ftIRpu4Mx8Fi+ab1Jv0UR4uqTG4LAqZhXT6MeXhV
zYgewGicOmj1Pp757tY0S/kSmqblGw7Lw6+/6d8MId3AvIRWkFBx+//0YrUsJlQD14ddpDUbYmHO
qjvDLMRB4DfX+dx5Wp6oIfSltIJ+DTn75ydKhju5T84yVl3Yyw38xUlABlHRMnqF5SYrujy3bSjy
+6yfznar5vfRwg025vCj6lmXl1IlSSkghDYeyU8Dchu6C3YvJ2zst5HDco/4PEfGEVk0TbXxOTS1
aYv5oqR7OsXHTq2bB4wCrmPNtt9psXFoYwdEy2rhURbxRxCbuK2BMHI2csrtqCQfQTlfnbDbzC0q
NYybdrQ/dzC3CGLJ5+8s52NqL26l3XwGBOLMrPG7XUf5Wpvp5NuCGuvXD/JvVhiaio5rk2lgk4r4
6YXhpVxWBrTK3TzAXqOcGFnZUJRYMAX03a+vRYX9eTWjC80+5eA3Cyt1+fsfZj3urWQt4nEEH6Z/
MJr4kJe/WzC/z6RPKyacP83AHpg8Ws35dI04qlIc8tRiV7q93DTxqPnIX96WlT7GDGjb1sEh1Yyd
q2gntN3R2i5Qio/BEy2Gb47VF56WAz46JIPs+oRNHF87JCoToWoi/JitQV/bQZzuMt2avcTU4aJB
m77JsCnAo+PRafnPFg68e2NCNJhBlfTwO299ctblRqu1yNPdStui30FGr8UfZsEQrOL0th8XL6Rw
8h0roUAVBDiaAiiiiGLMo9sHjBEihK3z8Tfv5G9mLO+CXiUqfjSDpvbzSyk02RJfmxc7kXFQ6KM8
9mNCGj0NltCtiHgCQPzJKpucU25aRDc2terhvozWlLFMxvdasYpuMwR4DrfQH1ZwYZ4HpKZY1KGV
SnvrFEDTxNvDPEVQZ1dmzUqE91NJotl0VbXhbW7In7GJ4saizHfxevBrZdymkXqdKMQ8iQgaq7Jh
68rhITStzktqxifs0IVe2BM8pyC0yoPM3WrmfAXi7G9//ZD+ZpKwZyz/4MPJ6e3TMxrCCoXU0Be7
AVoPJQ697YHbMdQOq4nwN28EJ+B/nScOuzDLGtKHRXLy8yupDH36f+ydx3bdSNplnwi54AJm2Pfi
WvLSixQ1wSIpCd5GIGCevjeYmVXKrL//6prXTJkSjUQg4jPn7IO0ZKiPvS3rneXJJsKZe465qWD6
ZMTV8UguMw2SXodpeU4FmJSIiCgAhyb2Nk0dtnD8dbcLPVxKWQmoop6Dd1lY14YObgmpQ9EQUu1P
deNETis/sP8+TCUEeH+9jHnMEqd4i8e1Sh2xZC/mpRtqoFINGPFM7bQiBUzxI/1sLxd3cqJM8AdD
hmCesZq421Hv23gAIbBgMJ6QsX82QYzfm2hU2DhqRLSZopEMimTYLh2tnlhGCJkJEjQ3ZLmgn+zC
ukMRzSiIas3yh4gV/hytvzAq/k+s1weyHfTecnu5W18jOQlMXOOTl6wNhGBDGHitsS07qiUyR3Fx
F8DYWv50b4ivXS54xVTcXYdi+ujXNRoyLVbv2SVz6FnCiVIcMcrXPNUI5l1vS34IG7DqbOj8vOBJ
hLzDC6xUeaYpxv3GzQLWgweTt8Mb1aW0xLdUjvW5sMSNljpy7H7ero0RBvHsMHZ9w6hY3JTK/Wr3
UAH+zZP7P7ze1DqC4AcyH1zH/Ns9Wc5OzjpXVEfpzx+11A/S5N7TtFmx4LVe66/PVrtRobUHB8d9
uL7zdar28yhHQhf5MBjHUaHqfBcWYRRoYp6iUiXot+2g3oXTMB9LSxo0aEUFhdvNdl1dJh9YZ8IL
Usc0WhLuRbWkqC84y7eL79zYBmdMruZn7VBumT2hsJ6ZDdspARhEyMvNkNAYttNV6jT8QLA/nfx8
eFI4Mza9jTIvoCUNh/Kih+HBFbgPGsatu6wvnKgbF5IMRqw1VRBVYNs2opk/PAnAo0fU59MdHMk7
vNFcIjSZw5PjoRChmlf+n/frf2US/2bCxkRslcf8vydsL3NTZXXy63Dtj4/506JsYlEWa547QzIk
CasO6w+nHkcmv0VjxAiY6u/X6RquZMpPtGYuOhxSg3je/5yumb9xgFPnmAzGTD/gFP8PJmx/q2XM
wGRQx3hNrLUGArf1vfulloG9aGUi7sabofqeyDJKy/df/jX+h9bvb1qif/kCf2tX+skpq3biCwRA
/9Kg2gzhW6ZvIEoCGfrfv9TnHf9L0USaFQBnZo4OQUEoPv7ejs2WtEpMgNYlF+Vs5tDyDNsxweTR
RyGL/ibzKQk+0iYGMHBghi2NhTRMoMVkAzgmVp7vDQGKfnKbDG5KnXGI+8QkUKcefmSBGWTVNfZr
abhXptcup1KGedw/BTmBIx7kqvhp7hQM1UycpcqZG9LEsONkr1cTrs5QahM4PS27rT0mYJtRsw0C
G1V1afHYhXaiibF1a+2TbLHSKjaZN9us4wb73IO1/TJP5UDoQTf420VjNNsjly6d6spnyxGJyVtu
AmBe4zcDsPimMJIKZ5uySXH0hevcuobfLle5ClPyUlDxu/XO0URmGu1WFbma4gNW80wePn8i/z01
/s2pYbEy/eXZ/Reswf/ps6X5q7339w/5x5kR/ma6nBpQMJCauphx/3lmuL8RQ4VKcY01Q3XFcfKn
u9cHZcBHMTGnE/rLSN6x8AQTacCnI/IttP4jaZVt/20GAdUDWSnTB8o7VgAIOv96alSdL/G0eSMZ
wy2mRg+GkqpKmlHhNeZV0+qAXJW889UyHApCdCvzBdQ4SJICzal8sitXoV+3OODsXdnnfTvmW1+T
0hI8Zh4rd48xbV5n1rBtxwn2oks2UEUPEc7H3BhHhotQc2hwTgDQKokwEKl/rdpLXc55HWkmrNgj
g7aGpZBP58aotHlCZjNfZjeOn3Kna2Gre1+NlRIwNtoHAziFEYvu9jqvIK5gyRysjRCF/ZR6GRvF
LB1GYxMy7+Yt7vFPIWfCRFn2S9IQd4+OdYFf98aZArOsVlJfyJvCimanCtxCr1eXJJJ5E+XTpMvD
pIktibBvoBmpqMqZjiqdbyVrxwPYa8wb3ophYBULkcHA2cphCaahXYEN+bKyG8D88YkhYmFJqVa8
gy3i+lWtyIfxk/7AnJHMcPz9CSPMlQ8hV1QEsgJsbKIDH7GCJOKF5cAWWUU7naaGDEZ4a4K/KKw8
EBREfnWklSMMk7bXQ28t9M5DdGFtpNVjT2zwI/guKH38kojgs2IUJ2+lXoSrqNNWYygPGZNTtU9p
tnDn8qhHhkO43X3nFRgvjLo6OKqMcXWJiS4gVz6Bn3lubAFIaJ9xkNs3kTmgTwAoWh1JvkxxorBv
2dvjOO5GlTdbJhk6WWffdDF90rZia8ly/El3a74tZBruC8HbuC/iDL1O7c5vFS0Soqy+EoehmdpH
q4axUXiq/Io0xNvEpkbhgLVKsb5OEzOye/8WDAW+UTtlK5o2BG6jBmZia1qTpXdJUnYY6JIJ1Usf
3k6ig24d98N2AAJ0TjGV+ZvGqYpHr3QE0Nh0KL+budGcCF+0T6oCrY7HP/7G2wC4m4j18D2uNI6S
WSpdHBLV2U84AobT2Ff+3i5BYCGriuUjkK8PcxRGpOmhIsx+ILx4A7JT4wPdg/k96XCbsL+7rrzS
PRepCF4Dz7EPWq6zOCEXy4oES4WNtCvDiWTcPYGz72+6wFzeS1XFEcHS8/OQtdUxXoij2BqGGTKI
NpCf6NaQt3Mz1TedwJOBwxZlJJdbFkOqoDmx8Nh/8ZJObUYjrE/wlpMX1a3sdUBh5UOBNnMrF0jg
WlUH1aCJwkbrDhvhFua9SLthO6vJCfdN7dJSBSIGcfGJSRyEam+xyYV76ZnlD+ad86kLCX6b1lQY
Pc3hpo7VB3ZAN3LmEXAGkNzjGvsORdV+m8b5BcuN2EL2CKco1LbfFxG8LX6OQEQ6IgI8tj7Qk/my
5A4Pc7/57634yef5N7eiw/v9v16LTz+mvwqO//iIP27F0PlNmCufwgo9IDvOSob6s5I2vd94cgmO
ox7+XTv8j1vR+40YGn4L2wj7AMb0/yilbfEbfhJG6rAygs8r8z8ppSmbuXt/nQwy5hDYdYjEZHZM
m/p5b/5STcMWM3TXNCYZwSDStOECTiznj09M2oKqfpcaltxMzAsf/DG4IEnUXz2dd49tYzziSZLn
YWac3gGBvnwC1GYyqOODbvL0jpxs423w/YaE2Mbsjm4QcxAIYSfyrsYY59y7bsZluzFqkp1PpAAE
9g1bRrP5IjEpQlU1iqVxDm2h2vYSIKDzIYADMEAQi/ZGVe4mjovcxQmWmFBdW1zV3ZcywEXLnAjj
tcVZNnloZu04VDs/NV25T0vXbs/KTTKA31jusbeTJTTjhM+YxFhnv5ntZ3dOZMekhxUVEeNuPAUH
ev1ZnIaMkICYMPbMz5/i2TAGzXSk0AS5YAh5y+uYsE8vx+IORAGfynr4mpoFMyY285HBQ97CJ8Zf
QLxGA8oQpYzELRimV3FuoTYCLinkXpt5rkm0ZXERBU1+rBIWB1OdqQospKOoKKZgN5qBeJ3hwlGk
Y9DJZPaYlICSN9OQXzq7bo65PT6TLOIccjXmG4s0wWMxJvg3uipJX5C+YOafEX/7wXQhtvcqHYfh
RSZVjVZIglGcUuwcOiRVJfE+KLiRGg3jK/ZJlpJdyO7QAehYPE9a1eSEWMjGA/c9yZp+58TF8LgE
A80AACT0UzaW7xoMtd+OB3ho/j6w6wNxRw96yZ5Br/8ELqOuEFoyUyySmyXtgKIP6rWp5LnSTX0s
1BqbggBqWsiikHPrcbQSJNaz8E6TCsGdXTy3tAnwpowGwLn+4WW1d6m8Jb4bw8bbSPBrm3BYR5dO
HBXzUBxc7eLfXihFSK6nCAM6mABf2bqjTq+BgfaXQI32jnbEPBHwlu3raREbKHMIV7FRvWeDrQ+V
Ftl7kHYTcSHzvGs7YTxQv7jci8mP2ImbW2GoR6Gy6ZGE9ZIujj4HjXN2rNEHkppM8+M0qxmrFsNe
BcI9cS6k+x573z6phLsVqREetDf+aARGUpWilog5O5BvDRls1yl7bxzs11rUFVc7IEqiB2SEB6/a
yFrh6VwM8gtMXe6wwtFj2dOThRwQrXvxDDbktCw1lBnJWE8o40XMMeg6wo3OaYdgxEBX8NMZRP9t
WPxtbjH1LEa32Ejdee6GygjAJMjsK89TvPFDH3QRDmsDyYPHFk3D9hGbxg/MJOpzvcxrKoNxRJA3
PMyWHv3H0i3aO8+00RZTgmQ3LQvZPZMnUMB+7MutRSTB06eIVeFmTCjPGpsJJvSpLWIKvhoPFi41
BqYfQ0nIrRlrfcfm1tpqzWORhMh7N8E0zd+7lkN1l/jufB5Uhl+Y2nMMD4pHawKp6a0Md75bIhnl
qH5aVMtQS8lH2nvTMKQ/EcMCRAG92i0b1+za8YYJsnyVgBkxmZJWvuwtXZlXaR1WqGCCdpt2hn0w
CSJBtM8Qbc6BOZMX/oY8xwbOnxg74VAtO+2CHq/tnB3puAiZk5iiJFi+Ttj7nv0MDGmZG2+8Ui82
HGfqpaLZVZ0i36Bzb4h3KaK+tPOr2gAuLwNQ+XabPVfwQNeaXGQXxp7awqy8OBHbA8a6Vfylg9se
bPDEhtetWzZnK1Qs3xHbU/e3D0xfjMfClf6bXYksSoqw2wJ37cFcJymvMWlQ9i5elYUzUwug7yil
YYyDnlVK3ZSShAo+T71vPsWK61vLhtRD6Ad8IO6gYhhdmdK+67syZWaZzfI4WiYa0phRJXfJgh04
9ur70Zlf8V0IlvBV+MFM/p6wpHSkJ3BANwfqqzfnDNlN09jZjj65JZELxWA5ZDRarWLn5xKtZCjj
ah5EivN+sKKa/NRd2yD7m5Mg2ceuxXkQzDcZQee3i2HqCy6HnJn94DPynuwNERK8Wr497JRrJwdU
MNPGHO1gG+bkhwGCPcxGwtrKUZdw4NRi1cX0xg55EvGLn1RBK+BBAN4keHQGgpg2RdCgaHaJaOHv
FiJ9mQ7G3EGcMHW8bazJ3PheWH3MJG3tTIMN1mAZBpKwAv96hSRqnQ3JpzDLw8gJGMp3bhlGUnWn
0AgxShrtz6nzv0B6bXYLm9W9KVswQTN6bsNFvZHWU7ofkMCcjaL7jsPzUqp4uLIm/BfLiMmytP36
ltmbeW1PqwTenPP9mCnztLC6PhpMBzddCxwOemiGAx0zuxHwdx6KHGF5VXDedR7xEZgganQIoNTV
N7spiivRxmAF5hq3jzPObPZy65pnQB5k5qbbsSh+Dl4Z7qd2+ZbAKQX5h+kDAR1eFnBysU23xdEP
2OUd/u64JVysv4sLO97ig5A3o0s0elqSn+yZyWtjiZ9t2P1wVVbuS0HBoCf3pSILZYuBo3suAz7V
0rvQuYZJ/ewHl8WJRMvmcohufDmmd8C58vvQbtqTGdjLtS7QkI1+8W2oYjPiMCU7qcn0S4DBcusq
5zFjDrClp2JJNiFUG7ysfLdrFjIV2pfT4FbePtc+kurQqPcsKapr1l0jNiuSn7Uzv0vIt6yVPB95
O9/DCM9iZ4Zd8CxNG106VET+QRdCrzapPxB/MhYt375mFvbKa1+oixrr4KnzBR/rEGTUD2RgwA/b
sgxI7gc6zDtB//bq596j8DwCGsrkxrUbeXRgGDr0Ivkq2I/5h06z1P0SimLcTgI7PElxO3eJcXuR
CQr+eNBQaMhRmhn46RB9cGN/F/VUi2jm57yxW6u51daijuYy+Ud/EsG3sZDm62DCl2hjdbuYjpHv
tE71MW+VcysqT++shVAXTtZWaTrOGR2WDkHorrH3rVk9gI0RD2hTSOjg1MSXhNaeKBRXlj9l7wRA
2WWe8DNF8rLSFHrv0LaW4JWpUQUcexkutLc21zzy/0e0dAQKKPOaAVSO+js03+ukO5cjlAJEImmy
7RLne+lJwkK8zP6wktyotgvO0wJqwjCdWjy+cPqLNIcoKebpwyyDMmqbQT4uY9+dYg7PC6yu8gBZ
427xcMY1vvIjzXUwHVmM5DzOnva/x4lfbZFs+LehEtmLaHv3Yg2ZiPpqLHciYzvTNu0C2bnzq12j
nOahd9w+wwFgyhvMd3BmzBgtt6/aAddFHwCV15Ocb+sgKw8wYvJ97I9qbzGc27V8X8xoPOOQC3Y0
B7ar2QunWfHCFTd8LcfJfGS2Gh9NiAonUzAeGeLOO3e1hvKRodUgOAdR6XNiZ8iGtEH/Hi5pf2ap
zwuRmmOxa/GynO2u10yAJqvYMA1rI08n5m4xZX+vlkm9mMEyfBcsKo+BbMIr+nB16yZp/6VxRF/w
/jWMgoh0jIpKMKehumK73CtyXGgf5PiUWJywJLm5xN8tYeuwky7bWe+ynPfhis1FVe0CcL9fSDRf
vK8JIKkl0sHEzRoMBCPmGpbmBvMzhny3cD0ceUX6qv0RLTukk0ck+UDYQJQbl7Keste4EvUe9woR
TdUylSfSHswoD/KEAAKgccFGVmP1YsZTfK/5o8ep4nhFBfw4VtTGEijOe13VTWSkPnJCtSRXRB6w
Aas1wwZV6eqJ3R8CBdO3D2NQFddQkZnQVAq+OuYLZjtLKTeib8V+tOrxvnQFmThiiUmMZPcHDdAa
rqt6GTYuCRvHAaz+nd2CqX4I/LxvbomfhcQaJpPJGGtLPC5Euu9Vm65EJrSVtt3K75SbWTBAGPe7
0X2Eb+IVAKWGmfVCL495mFb49/JZE/ZDHNXWk+TulUtLlJMjU85RJF3I7qXnHFXqiRewYsj+lhHE
/LEveBffUWvHkWnkcXKdMfAkbmQmzgApVTJGnj1odFSGj8MxJanxWiujPQ4ytB6IUKMXsDrjsBA1
FWkMSGeQ+u2p55mMBuVk120uMpJLB/9n1Tfux+9BEH3Wq/wwVe2TLMI4e2UsPGwrNxxB1OCLC+Sy
iAjBSPADjFNy9IaKEtxSqbHF7+k/L/lo7hjALu4uBMO3l7Zc3kwK66uRqJlNCUacoZWJhcwdzosN
9qpts/ZrOrnVwzha2CTabNwyN24jkVoOPEli6XdJgSDgM2/C7Ap5mAptbXtIsTeu21URvjr3i6SK
3KlpCrdLbeW7hLuO4rybd5PdYzEs/ZPR1joiXlE/qCQL931h2m/CndwjCKl2ExecTCVmWjAATXrI
EoekoQbupJNV3gqQT8f3MjT0obRdksXS8LtZ97ea7wRFN4kWrW3Pxw5KEKUUEXxISIMJGKY77nhu
yP0IsaV0c0F/w0Np4p3NUOUSEbFDDpbSjRjFN0lNv1kpVEcji53IAPixrUevDlD3KLmFkDgTPuk4
+ybGUVmHvnH7mZRBuMlxmIryMgGu2IqkdnoqcHIzyjlNf7St517iOMs4aDvi5hqDd1dy8A9tvp1L
ogeXHgRgj2CYS2ec71Nlhjd6SgqiTYHNFF4mdkBiODBl05wz07oLgkpvJJuBZju0yZv06zwi8ZRF
eGt1wU1hdD32UPg5Vhm7hA7hbEzwHWycUTJarLK0eiVx4LUjkQ4Ra3BwxWQRi9Xq7+bExYrtcjmR
0gruh8YTPJog02CClLmdC4fpg594kbeUb4Q3pDvNTwt01fQVwOFVmuANXbrvdV5+lTn089IezGY3
KDCcm8lxduCh7Q2av/iMclu8FXKKN1VieltqZguwEl7LctcToDok7tRdN15e87RI/2CZhb+1e7x+
JZk4d8wfiFUcXEwyzEdN7H6KehteIL7LdfwzBbI9hV1X7pZRL8eEiK4fY02LlqtcH9mKDNFodPY9
g3AmAm3/odJJnf0qI+06KIBsNUOUpnN7ClqPUDW0TWfbr/T9Z1JJknXv9GuUYnONAMNd8upUD60G
4YwO80WrmIRVPV4cWCPPlFJPmdF1W79X/lXqOeO2mxYKxwZT3bh0MC0GoycRaPgWWh3Wg9nZpLn9
zNqE0CLtuvvWA0M4Cid4SSer2mA8rKPQDDSiv1g8LU0h0MEUNvkF6XVmsJtofXmcZfrYe9ZPwOvU
f2TabfAV149pY786qVWeHF273/HR95GZoDBtjep5AlHzs23J7dknOGcVhOqR4puUFHD5XvUQ4CyE
jZjkFulTQfxNm0MBMkhrxNvYxR86y1oapBhxzNhJjeNeSDRtFP+VRY8zCSz7TvhQc2Ah0XJEA8JZ
xz5xun2qsAbyDnhm0Z+JvtmM4PknWp044kfV+pcC2c2tZkkBtrWABmovRWZtAK6VcLgCtCS7wUzb
G4w3wYlf8FtFHfy0E/vBzRsOD4Bg57A1i/MsuFwtZ/yICxiKh4L4hR3ue3fjk77Cjng6L5kPkM20
nnuupG1pKTCs9joLbOsEGfxAeLbl4eUXgPFI1BWrhMyF1GZzJJByqEciEIajr7tvSbCckZyaWyBD
Jjl6xoXoDWqdUnTkyftn7OJqD8Tkj/QZwnWmTRdi+60p9THEokSM3e66T/Q9+NjvZpXxxBMzgYCm
vu/cto4YzPhELRIW7Bt/ZtP4S2Xcjrb7klmuvFKxAW+799CLlk59SM02AaJVWccJMEzUi0GeavRT
TC5IWzMLSF3/yK/J4zHbps38rUjI3LHV7Oz9As9rrpz3WGjrcQxEgVR4Hnu0xcTaCOnrR84+e+N5
gswSsxvOfccwyiTM2YoNuKl9YDBnyTJ715tFcQy9+uKqUm5jkpIQ22djOOx8NLhETZppce64H61w
aQDDze0b8O/mdRX3VlFhLMtHwZZo2lpzYbw1XtXf+mZpHHMuvH4DoH6C0pX3135Bi4QwJGeflSXn
3nCTnUO40zt1Fq9W0lZvWW4Ft5/ROgjPhg8j837+Hq/DCl+eO8bQ98tErKnI/LHe/jNix7ZTd7lZ
pboQjf8ZsRMqp42W1UHwe86OV5D+09pZ3W+zhVCprEWR5JqxcWMhlNS/J+5AKn+aE/GFCkH8HrqT
dLM68h7MO68neWcMg+cx8Djh09p+ZL/ZbuGS3gaWjN+qCXMJALmAUMw1ige/f2FcjTZFzfVnHk+n
NFmbbqim/WcoT8+KdoDXyPmz8ZTZ5od/yecBY25tMLjmlHdjw67P95r+uW9drOxdEIDubfwQ367J
jG+GHcsSLLdevWYiP3zMhPlEsJ+FR78blpcBhe3/I9HH5+mB0NmOCmVbnV0vbduCI2XAs1H9kFAx
YdVHca2QafQgp7cVp8zrL1E/xZCrY0sg8ubXvJ/EKDVqdWd6BAOqGD6ZRYvzZTYDfhJG+FzaEuBb
SlJHVCdxMkXM1OaHuUBTC1XtH+E/vqTxnmyuaErQXxOAWBHczzBNsBR7GKHZaUaiHcYDHM/unr2p
/QJ1oZ4i4XJgL72w7mS3out+yQjiLGvuStKxXn7PCWKlNnwysy/9bKiXojXMG7Ma54PdIjWleZXO
vcQh8fA/JggpGehH215Vj5M98JY2NcfqphJBDXVYpilqy78HCTk9gs4bJvykw/1LkFDfVmRmqj7B
kl7IO4ITgAN4c2vvHMZQTyZO+HPuclTWZTr//AwZIkmFQm3xIKd+Jg2lIZtI0lAyEk480exHg1uX
jAMuMx6piGaH4G2Sfw+tMQbg5PrqqmeFe9IjTAqkCcV1S7C1pLK3zOsGDesXlcNM5ZQFP5Yao7v1
evcz3Q34QtG1N2ing2OVWqS86KU9YChzt05bYBs2epSVwRpbxPQWlmcztk8m9d1133TjflBU/4wz
faY0BlzeNNe/BxhN7DK2SSury6DCD0NbQATJyDx6qVAENZBmhGZcbJ0cpXXWOScArsEdxrzpNM5C
o2v10Th7cRm5yJQALoT+lnlzf5Zg/C6fIUdg0N5JObB2Osa/kgfzWzITW2a7IF/jIGesaMUVs7J+
fjYyJ977PTlqnyFIRuAGh1TjFNb/TEJqinomv5sldepMVoTlwt8ogWLXMJf+NUNLv6VVWI5zj4yJ
i0wOd4HfMAe2wFBHvwQkzSmXTS6KpmCepYtrw++iUbC+Ycb6R1KSVaAnDpvlhtwC/r8Z30tnmm9H
gFwsp4vnUNpfnYTDWhj1LkMhHDEpeQtrPIbEHhE6NqZJ9BmoVOMp2NtWga+GICQ3yR+WABIm+UQC
xaa5rKyJW4dEvw06iZdWdvmdlwwEN9tHCit10Iurv/0je8lB77c3FyrkCSXwof0zgKkK8+5+HLp7
EPPlvDGbgKvdWhvBtDRuAyecyZuz01MHceAa+9R3lFzDhXg60hs4/3GVrQFN0MW/qlEMm6SarnWL
nKMvu5f/rq3//9bW+ID+NzXX04+6/iHljx9/EYGiXeKj/lhdB9ZvaDh87NK/yzz/WFuH5m+OJRwm
BAFAO4hXSOj/FHOx0CY4wQtcGxObaa0BD39G1ri/IRmFu0WBIHgCAvc/WVuD3vvr1nplBYUePSeZ
AUhN2Z7/Vc3lz71jpKOoTwZJdxaCjBWuoAmPHJkfqIqV+2YFxo3Xis3udu2eI0vCOSVOwD92lZsx
V4xltYMDYd3IzvUw39DleSsvNUkY+23H3tkBxZq+VhNU2mh2hPMWrrRVe+WuDqGg+1hZrOyovpPO
C53VARgu0N1G3sputVaK67LyXGfNhtnHU9VslnCSe4QiANjrgAl3PjdfXYDYpDfI6kRsMTDjzNsP
0vcjU2GK1JC7bq2VLVvPWflkpw7AWS1d4LOO7TVfU4va29bGcpafmNrE9rz3+BNey+ADkG3VJ8ml
6ckWY6wXXE/YCR6GsbejuvTv2YeEFxNtWRRUSfKtTOUKFir0cfEHHRUZbsuYvNQDKhcMGBncBjyj
903b+CA67HrvGcW8WQZt3dZ+eE7qIhLNVNwZQWwAB7ERtHOP7Mo1DHJYGb+96dS7sXNNImxd95oQ
b3ka5GJwALF4d4vUOOOEaXeF3S3b1MiXSOZmc4EnD1y4CwxGkCNOMRR8MHDBSF4nzOUObmtVexs1
DJ9VLvettuXFzwyW9KCMvQmm8VwM3g4wB32GX0haz5hPBIx676GmiowWMrK7MpIHqmACBb5Rt8iD
1Tr5cQD3cgDHHz/rIGv2eR573wNSmmd8QnZ+SQRLnPITzzxNkJqDqtRRlgZk5nl9v++gakQzUMld
gOhhk6y8Z/jO4Tt5wOPPhJXMHroT4O4uXrNmA8e9d5H+l9dz3n5JBysngbKZ3wxuH6x1izAvRlPo
q4AY3U1TmRCKsxDITpugHfRsSNUEMAXn2IRe7awc63K0vqSfaGuslt0xgGB2PzUd4US1w8676sMr
t8s80i4BmlFUW0blHwcDEMq+lysNNRxcoNrLytdGU7jPP5Hby9Q7+3TlcNvWiuTuVjo3hPF8u24n
kg3+GZN+zx6YZ40LcwQSB/xIYp+holqqO8PARylQV6QUf5fes9+asvPj6w6qe3rVWuWLx/ztgfSO
Q2wElnEiX9eN7UOpHKDbGx2OdfixuJD+d9CXltuFafedHOyg+sC3GS/Xbo3MMFDDF9FOzh3hSWk/
7ICgPbmxxEjRDxQfZR2ex8ZHexLG6F2iNvXah3YySC3cZijjjoB5iv6LTVhtQfVpFjWj2NrzG/9c
UzxKI6pEbpsAhjz+3SvdLvuYEQuawyaJzVf0C6OiGjeSm272K/8FCSwj8Z0Us3VfT+EQf0dkDZsk
W0L2VeEmtVwDD+XQPPLksoIGFTEghSBpodgiv4Q+b6owf/cJvTSOQa3N5iSaEt1jEwxDEWmSsIDe
TungXsakIsWFGeVbsc78mTbOVnKyGIYh1evG6a5Wvvt9dh1VHPD/a4hFc+ejQTUythvKiuNwV4uC
L7mUCTVGNcHPdJKFrBTQZziXzJHwCc4+vqIqYhIi7FBCsK2SLGfhT0Jmc+sHs81YYh661FFXcOOF
iR5B4033J59Qj7T2biftTXuW5/ynWYL76wX/xluPKISncgzsK7YUNKAFexZzXT6PONod71KHbncq
spD3fhJxJIrSRao+OP5hsGyQZz5TuCbti7vaLq+Xz2FdT6Dj9ZQKNDYteafNqNx0U7qBz0ul4flE
A7G2G5V79pradaDKytd3Fdy6lXjZjvbCMfbmqt/xSzBRHoNg0slHpsWeUdfQHobmIdA+Jhav06/s
Vex5gyTsCpwQhVbXW1Gx4pjUJ5lp+aQ0VSuwqZu7d+6oFQfoeqwWwTpln4Qn2wT2lCxWvJ/MPPgi
VhSUu0KhzBUPVa6gqGZFRpXGbJ51bcYfywqUmmNWFj4gC47O+IjW3vxKxZ9FsgqDV211UKnUCqhC
TDtd+XD+LngS4Y91E8ARElG/pbZjncWKuXLhXaF1ZbaqVgaWYtLVsmkAjZWvkCxcvjl73fAg6Yq/
LH6jTrOnIQD19XJACAtpK7eQMRIwjqRpBXEB10Tz3694LhIZWpI8HPIne3IssPhNIFjZktsr2iux
gXy1K+5Lr+Avd0WAefwF9uy/4YJZkPc4GoGFOZ/cMC1AiKHdVhfLX6wfGmIHYDi0noUVW0dvxY8Z
E1/PXpFk7Qony7OWiPNalTfFii4bVogZ0Kz+TggrvGZhTYpyWufXRTqhbHbI/i0aAcwepsKxhI5G
rnN2Pa/AtHhFp8WxFfJJpEclsJLVhgDIWrPi1uSUQl7LePPvRA6OLUSR/IZvmiWqV0QO5Ip7DO8T
Gcoryq0KZXhPTD3IjhX0NhI7xUqlMqGSIc5LzeQFg5u3tYiSonjw/Y1Bvh00mZUgZ8KSm1aoHK1w
e/m/7J3JctxI1qVfpa33SAPgGNusNzExIhgcgjO5gVGUBDjm2R14+v5AZf6lVFVldu1rU5ZZSooR
GNz93nvOd1wpzUvxyZxj9ye6z6CN4sA0wXNo9Y+GPVBXDl0MOM0huINY1woxj4Zo1+CiJ8o2IK23
jG2cswWiN8x7mWehluO9D6CJ8VK3Y7+p8Fi/2zrgTEFyDSWQmbIStG0W0tAfYbT79wKyfsyWh68j
TpDwTLU8//d8//9zvud8HaAJ/fcWr6t36NK/ApR+/NDvx3sfu5bj+6bn4b8w8dZyWP/9iO+HyE9x
coQu9xtxKjXBHyf88Df6XvCNQsdzhbBNzuV/nPD93/CWC8unaHB80+eP/gOP1+LG+MkWxa+njEDh
aoac7hcV7J/P96U5pGB/snlPD9NF3DU65SnW8fRYWHoEDEA9+9Pl+Reer19MZcsv9LGgAE7gkweO
90tB0ZPx0BtEC+y1TtszqNCRBsPfUup/MaEsv2WR2iIDdj3H+idGQ+92pHoQrAsIg5wiZevmzP42
QpB2aqQ+ivWta9WGyAvjrlO+fvzrL4lr5p+uK7Bw1MaCCopPEy5q4J/UvsMwBXKc/H6PZZMMHa0Q
rZEQZ+5H0AFg8Zjk61S33cUU+QUBEMgXQeLW0oBkDrzkvgqwJ6xwo01XSGQ4IsSWQ0jOrDLsDBn/
LQlDRbEWucHpUdcpc1bqLOJDehRC35t+yu5EGmSbWQfzPnFo2kbMFI+F5zYvkWymC4ZBYNbrmLhH
YjNxrHCwJRfSbLT1gJq6vm5R9j3YxEPf9tD1j8rr6veABpi5xhkzfaeEmXdjmY9P+VBOF9jnylNk
4UZpIxnASqULAUjOrN4SGuGvVmzyg0rL8NQBmsDw7UV34egX/WbsyPo7cKmY88UQHKwlnckRF5je
lqGU3yELnaX9QGYbrmbNFuc2c3mqnJBpXx7bS3adbM9VPgqyxBBgrJmQoRNghb+ahZb7iJ7kRmDx
OFKnNOeu6KPjzOD+wmP2emj6mY8j+vGJILrxqUln7567Y28Z19nb0oaaMsA4/JgqxfvgWzxDqpwe
kz6qkNnM3BkkWubeUyHvkIK8IHoi0TzLkPumoc+ohnp6NFt+hBl89+xVLOSkEziHJiYQYcjn7hnR
cHlauCWnosDcR8w99GM2K0WiqTfMkIZRG2+7Gr2sKkciRwBi3tVeQouVc9M6tav2w4n41ziDw7CO
U5skAoTLaIKdofnQuHseA6OfLjw55Icq4OZODMo2yJcJgutE2ZbYdLr8UDOjX/VEh2PdgU4ABjS7
i5WV7Tx0IdeQgdw1CqfxWwYDESdTn+0KOBQsGlb1BuxyfIporl2FzchfJZIJcnMUrKxl6wqVAUQ4
W152o3FvYAjS7MZesfU4d6xwHgLNzTIexTEpx28Ww5OLSTI1jx3uRDSGqD/KetrgRHGKTV4PXNcs
rt/9nMwkrcj92PTakOWmSqLoziNW7AO3+HxVqmR6tFUBVrXiZcjbJtsZVBh4bDzrQTpSbSCmICc1
uLZdzH0kr5ZLvTyiNMPHb1PLt5+zCR9Mg9Bu5YDGunAsnn/sV4QXxn5EJZ29KqMbjolsi5s4+G4O
IRWANArk+l1U2Iekc99Me2pe7CgaUPTwbC7sCXlh09LbOE7+5kT++K13/PoahQUPpbZHZGLcKI8x
GUpOp76BLOsgXVLuzcD586GUHYF5eOreDOSS2xks1a61o+pNFC6YIWGQ9BNMQb0y0gCELlEJ73EA
J28tAXtT74TZ5vPLBctolchA405PdUk+sEznKxVMHV1LI7ubCNSDYEdIL21YKzrqnDRgT5lyT7ab
D04FUfSFq2X7UecezFTmOJhQpyRoXiyQaicMsBC/PVs0HNrtOLCfgyy0Mu8VqTlCYoke8FVy1sri
PSDmEvZcP9N8xd2syD1oCGQ5Kiiyzp3IUD6CzJoeLaa668obknJlubrdNABIdzyHrrnqbTsE4glA
eDcO5TWiT5pUPGFHB2Z5b3bGuTLzO8Mdrh0Sh0mZ890zsw7WTmBNMDfje7pV14UB5guwR7yP7Tk5
kDr0iPaYbngeDdvBmb6AwBm2zjh8zRIb8ncZf0yYgg/JzDChtIb6VBWj2uYuKvcuivuvFsg3IqO6
S9030S5XZDTpGcyANbX+OidPfBPXsbx2qLWvjLAep3U7R0cvDRCOUjXJvCnnVR1GzYGGYL6xDe2s
GzN2V4XMxmpV5Pn3uJ77YCXckvKMGfY6dMq7qfTlFvdWeJkmHFc7L1U7L+GFbdLCupRTBMicCJcD
bHCLFgM+SLM0kBpgzFgjFgy2lSJGvRYYs0cEMoxiQQnaBspr5cpwP8TWPXKBcIdPvTtZZSjyLZq7
/oPAeuWt3SaESlDM3MNVnKMUQSzt7zxLvZVV1J6GzoZHZZvDIVYh4/k8ZFLoRh4dwKj7EJUaLmI3
Zs9jAw92Y8I2l9i6R2DiNXfCZdRn9Vm3w/CX6FVCUigzBP0WuNS3DKj1ZclMCxFMlr0yfaqYYmhv
uggp+xRzQXjgoRska390BMYl0Zw5nQU7Z6Afe6hZX0njZhGh5ZLV+KxxblZXTt7Vl2qO5m0FL/Ng
67rbiCThrerwAmTNqsSwgoITQRLyB03YqkgBLxYMZjqaevkGLSXy79ab3+vcdA/2VMwPNflWMabE
cI/fITwUDMtvZcbgYYyG5gjnmYmRTX5V5aFbyBUCm86heeWj++FwMFk09VtVoGkPdo2BmskgOm+F
8AKJRyjSF2pUdHjmpHZORFzbEI7GrknQDw4x0CjLYC+XpjpIKbRYOeO4iY2YUWMQWxe55In3BJKP
YNTRNgT2elWFFQ3dTBl3Ra9hQjbzdJywvIJCd8PE2TZeW3xz4uYacad/CnVvA+AiKCWGUmK7CCOS
7Kqmpj/USYFRUiZee5nPkXgdUh8bh+8qHzijyrvLZILhjwciNb/VpBgwjvJLT29M5DKHucESg+aj
pRGRu68qH6TcoK5IT3RrobyI1CPDoHPI44G7bMXua0hjeI/MF0sGzP4Ot5Mm0RE48PilSq1q3edq
ORfUDEJ1n29oLpTVNhgLeWmg1cb4Ovmpz+NXJIdWjO0pbLrKWbe664gPrly512UQdetUVu7NZEdy
T11bf2EKanTrtiZAi3tjgkvhiJSmgn0ot2aaA115Cu3IZXEmhJUsA0V4l0LAvTPJ6SKunVX4e5lj
Bq4nI7qrM395BzKOCX5kQhmNXcibfgK/C1+iezNLadwZVV3zdaVAeJ5JnJYx3iU0fUzoNo6n6y9I
Y+Z6m7jcJGtmd54GToU/Dl+NtK2H1Jq6r6Slp8HGdhO+H8NDhPB6muwtx1DvXmcNx7LlwFhu7dHJ
Nmlio83xvfKE43neO2aniKVSLMZtSg+rqGEJbhK3WwSsRWXclaTFPUlbQFIoOGmUAJeu4/nzU4TN
izCWAM2oaZZFeS6m70B4ArqvPscTxFHWLctg+VXUXjVujNgb2bVHlkqGdqiyiBXeTB0of1Jqhifm
gdw7qzGCcm0W7XQRFx481BHxdYKwmvEDe3nFYeu1xoqFwXo5/uKfe/V7hKc2vPuViB3rISj09D2g
pgZnE6HST2W4sqQi1h7B/NIgrkV+yOyw+VFzf+j/E3+r/kWlZP2rGuIzbQftR4A3/5caAploVsWx
0cMqtJtjFLIYchxe+hpp057z5UQzC7IbRm7MG0GHSyBSycUecOX9TUEDBODXOvHHJwFEYvFxwl9c
/UMlqqJOm37vSE7+BHEP7o3vkV0Z9yo6Qqk1oYhxZVHmwJmJK6IrOlfs5756i6OSBxPe+JGMiemy
VHXzMgyOczNKWz8qTty7v66+rF+HVqGJasoinMwjMYZZ2C8fFjtn5o+G6BBFCpMpTundTzUvGqqe
5MYYeOrYinjArJEnPkOIsDHZp44Z3Kb3tObc7Dscgv76Q31iAf9caQsX8yfDOQAJzj8VvvHQ8IyQ
9bQvCoF7CkdQBMBvaE6zQiLaYpjYsDTP24l+G/OTgRNUWlO8EvbMa+qM2V2qnOYocm/eo6KrviL/
9s+BF9Pj65uZ0Q7KgFXT4/n+608Okeufbr4v7IDmBUW18PxfAUsuFGQy7lS71w17GkkiNGeJeZp2
xGizOslSbcJE+N9Hexr3cknSMyz7PUjrZ1XG9M5cjkuGq+LNUBfV1djazitz6PIKWl12idJXvKEe
SPQV2qZyvGyTJDhEnpVtTIdZiNS80AVLCRhE6d6YFoOYlrhvUF4kTXGAnDELiolYZ07zbTMohNys
MAxHjLuRtvo9PprpexHEJo3Pku7uCoMHJY3jce4lywuJOQsYhnTO7BTL1CVxxn80O8sT0sYFK/Hn
WV2Xc3Muc4IGkR4sx/aMA31YuDT3GCXeOyKj+amj+joTVkAeS8MZ1KLlEGO+eIpnrIxw2u0cGuyQ
ecc+n/3x1ESotp+VRHRi6K7XWzcGCYdCVkQIw4RIB9HSEO2NztnwhUgwQccLYqFBI3LwEbTGdOhH
uUGMxv8RcaBH990B5V5HkgQv7B2cuC9D3Lhf/Vzomt2YM31rkoC9iaKEbxyXYbXFUEJFkmuO8v4i
qzUwe+GUic091TdLbOB0zyZRJpBqLHfduUbVrouwnq90S+EWMKL6MqVDtmslUdXIy3mfMsUTOfcU
FEwghifMQW9+S/04a4tgb5UDwW0nWD+f1y7MVCCP88zFZ9MxiKQk8dli4zhjP5MXDHhZ9AK3zw+9
G1TvGh3TuzNZnA3t3EYmSn71DociJqWRSz818CQGRdHv5WX3jOKwe9baEgdTsxr1S21XJmQ00jQe
1dqZc00UdI59C9MjkQgdEXJpyciCs5N/LkQ7PJnWYG+h9FTvbgfQzHSosGqL6nlDG54doCeM49lO
aSgh361BbEnc15HDatJHZYB3rKcyihwHeT0dbt6RhX6PH9biD2n7Nx8Y/LgqS1e7ozpcudKZ96TE
N8embujK2YotR4fLFppgnd65k08DqLCbFzX5wclStFk6PAan2KrbowRve/JiLlzLBnqBNoRQWSZZ
T4FDHY1sTF4ESwcoZHp9XSCJ2ZOWQYdAlfP3gLd03spgronUIFtC+/WXfugpt02X+XhJPm9BAuTa
cvhLS2M5OC+fWjshTSwGtzwYFd7A0yRUfrCWV1Uv6zvKSbWpaZa8MREZdrotUkDY2GG2wyjpjCzF
K8hqCnhU/c0ZmTx3BlM2j+2yF6NjJT6eXg+kcLBYzC5aRV9HeFyqpSlR5f50OccwXPRId+3zMbQ1
LRge78bc68GYrpyYjofopub82fEpBY9PoSC7exadk4bo8kNeWnKfOxyogLMFpyHy3PVne8CIDS6D
01DZ0nDk0i+NvFkG0y5DEbtWSfK9DebpauZ1I2GCiIpopTS9sCCme2XWOrvDErsMIBjlUKdwJBsq
X982A0LvBBM9eiFl5gc9841MqGM0cVBor6tQ0YIDokv7LzPddT1guA5THsGSxp3alvg80fkV7o2d
ee49Bx6T3DBv7J77tKUjODtZ84JOlUaZ26vmA+WGve3MfnosDV7zyG5zdB08FAK0BxPJyo6On50a
bIbmQo9FAFrOuO3AWdPsaSBybIXFr//s33xuknpJGC2rxDngNfhGgP1yXPYNbl9ecFhqOhNDx+ej
KWld1g6tIaK6ozvTystTXWGpbWAwnIK+a14qhLN7Jkf01IblrKwKkdwQDsi6FZs9i7tB+mOVh9Wb
jjnstGYTnhTZuAwayaUBkt60OFIENyTDm7r9jMkh+4JWRco7vTzPTbsswx3hvZd5R47zOpQ+Z96s
5cfZRCdGZhz4kqXrzblk2QUo0N6sgEfCmYfu69BE1XtiRfGNT07JzmqX5ydzKABYiVa5x9eJlu7X
5/E2COmQxlmZ3RVqpIvksE16zIkfPvcGRG3tcSAL/MZnyafvRBN1NFznxv9Ez4eoZ09NyDEEB4j9
oHAWr8PCoX9WcRLGAo3py0uth9oDJi0HbmRIg/gw5WZ5msUA3cjmxSmWe5BwPHztOow8uxZJ4qZQ
6CRsJx6fJsUxGbVhcDKrnDTqgmDKiHXspeqC+jXx8uhI/8Jbf7YERzJPDgFBW+hPEgUmk+Nnx2pS
k8/UZcREa56QSnM4QU+DCZr1pyf4CjAPnIj1ZI7VW24bNKgVPWMhI0qFnoOz8GAl2TSXt2z2PDyf
y6z2uRp0jqZLXEbxM1X9REqQXSz1BP4L/P9C37Y0bR5rn1M7gTa0LCBPcjFNlrdk5D3KQsGu5Y01
NZ7gWTPM6E4r+mV2rguJBt1tjqrOaSIuSyUSPBTemcCaDA+OWymX3COj24omZH9A6kp3Gs+fBUrT
n6780GJU3/jDN7+M9EXPR2fkn/HiypAipMYV9AUONkeOppvzQ1rykgEiILzeL9/G0eWqgSUWB0yF
vCrkcis6ICbVEClvL5xKUgz/eorYlM0q5NwyuPJaGSaLrGo4TlRVxAlyGol6QQJymgK8xZlNS/3z
Xz9fzKlI2WIMa2g/iAc37vCnO4dy7vUt4dvTrkhScJLIpLdCcqqM/cX9N7o82U7tg16YEUxc1d5M
RUY81053eIadufK2SUcB+9ko9rv6zbGpTNVyCpg042ykylC9aCTwjfHh56naD4HzOrcxgMxlEtPT
UNkOrs8vy6ohOOJlr/5L0PmRzfI3BB0bpAyF0L8fVd5k+XtSFe8/KxF//6E/IDrOb46AQukiPwiB
1y/ZnL+PKhE+AZDzFkI/3a1Fq/iPWaW//AmEbc/1lhHmH3NKQdCn67pw2Z1Psv9/xJVDA/DnIsQC
dOnjNQ2Rm9kWR+hfBoftmC0BIlZzdHpDb4ST7/oEN4ogoBskVJmg00GkS6gBgyl3m7XeYDClcdOv
ORLLCliL0dbQ2ooilNGFQUlDMNTU5JcBZUV6C0OjfSOoxX918SweUWTnl7Bc7E24ZE01ppTFkdM9
dUNGFhVANlo5nwFV5ZJVNf6IrZqsCyD4bMlzQqgVPeA2fOV8Q9hVYEJ4adlhvJdR6SG4nRBEbiCd
JCfGN6RlCbDc5TqM60C+j72RvLCkd8W+aqssRpFByXDqXTPpKa0g5jnrwcwkjc8C/IVQ18AdAMXv
ggab6HXV0c4nOKOjucw6mjrRvsdX0eptUTWmURxLlxlk/snqoStHv76IrjHew/skHZTrid16QhTV
rCOGKGozjCP9YZBdlvmhaM6peZslkJCZS6HQgtVXplVEnM7QzsbEwKpEa1IG9InXug8dtApJMDcO
NLG0duZ1hkGZlHr0E3aCly/AhzOnX+domjo3W/dFPLmbMa4k7UDbGeMLO9NRe82gcInuKdtbdDoR
8k5DAMnElZ9iHUaGQwUdu7V9n5HAISnwUGCPi33XQhC188J6evfrNNvSK1wcgRPegsX2Oy4G4JYm
wUVFDNChqhCRZuWIU7j5NA2P+bB0P9f+kDDqWmzFwkviG5chw3pMcr3xqBVRyrtilXpxte/mMDq3
i0GZlgdS7SzKgxV+ifomT73HrCris4ib7lYlo3/O62x8TYpAb9BOkcNVJ/rM81CBi6vkU842d0te
yvRM8ghdeIBBywjXjjZAWRcmYBY9JajuSNz0jBvg7risu9YId6PfilOEgv/CSBcvtgXBbHpC+opx
ffFpk/FY3ndLaOaKhOlYr920ERqSNnHWawJn5kMJeRzBe49qd4CceFCoyC9UnsVP+CjEZTgvq7dV
u+qBsGi6YOCiIuzBWZt/RzTk5ViZZnxhcVWWCEyreTWhfLiFs4eYVbkPaYNGMR0cGs5C+ydrqmPY
E2ygJYDBYbwZ4ti+tLQmEMQJB9RiE/caTFJ7TnKvfGo7XV5gwqu/KDt5thb3e0+G75E7TSBeTeYZ
HcDgap5yfY68LjmWjm6xsYv5ZRBzUexCmCofadWal8Zc0m9u8JQeVa7DnZPW38awifaWa4Lj0sBu
sshP78MsGF5ML82fp2yWz0L10mW8EWTPjVGGGwVyZQ8QvL0gPc3ehgsDgE7pJbu4ty4WNkCKmvem
JO70qHQXKpgnGQBafta4wdQL/cpdTEvkKcvbcoFSoiTVFFJxhsoPIAIn20DnK0kbYOMY+JMZjtRr
FalkuS6YHv08Wcc082u3U8fKDEvYdi5sLU4YN73RPsq5vU9rw/+q3QrnnUk/nFmLote3tus5ffDb
1LkszCk6mb0D1iPtoo0v40O4sBUWuxOvxgBvYSEvuK1ZfXgDBS1Wy+pWQNL50nwyGhj+6wWDWV9i
UnIeY1QHaw/8jbNSBbJw/GXxlWNbw+vSogKSHa+jDI3VzNB6XqOFOALEwRmMa+JbrvDTwj064RdV
W9dTepOMg3jBPif3wvAR02mSmcGm0GtwgI124MmJBFplsHmZS2hj11aWQcfFDKpzlna4E+veIi1p
0BaIcrmUk0AgOdgVKtV7O+n1XaUcYsiJMRH3+GGDL6RpEsk+yIFTXZATtUTHBP2yEQWnaizd98GF
ax56UestUx/WucHkVBpbZUT9EiQdZbtj/jgpTuCgrn3aUtMqHoTaWAIb66ojpJKYFITm9UTNTM+s
uu4kZ+mQ7Nx1D8MDkHt5ZylvOsQGAwb+0pjxftQd3KyGp8Q49ASIniSloA4+nKp1v1eG81XWjX2y
/LHrSUKCHZKHtOtayJmyMLIrpZPgCvF5dkpMzMqrdP5ITJvOoclcyNH6sTLbe0IdSTC1WmCqEcWs
HLxkJ8nSvjDR0Z4bq62IREAkv3Y61dGfTq7zDNKmM8iInkhrPUvKuos0dnEINf5HOpfBXUNLHVJT
Xj0go1hc+m19VGmGj7yN3PzKraBmMhMZr6rSRL+gNOo4r/B65u1WdebJLWAKhepWTlX7tdGdYS4A
lJxjjxM8xV7kHPmE08ZWdUmbpXZrkmHd4raIDJfkKcgw1sKIAWuiGRKY8mQQdLzyyrK66Ac9bJxB
96922yabPAAkNQKg6TvrS9rUCLM/uTSqiIeVtxBrnKBBfEcbcUO6vQ0eS3ffLTFm28GahvvU9Ahr
ctQiUQ6ynRPQLRREVN3LBZ/jmT7OwRAvwNRJcABxKqxt+kngcewiWBttYhzUcNkurB63VF9aE4FA
o2lQxSrIvhYBqJ9pgf6w7L0lQf6tzWR3IHLYh+ecLQU1/xQt8KDJBSM0SoBCJonKm1Fa9s7upYVn
0Ug/wpQ+RJ8nxkXvlnBduyjHXJ6Lo92lclf3aXMYOJBsiScN95gqup2vOXmhYsQXbSfjpfxkJOWa
EXW/gJNISetJfAGmJBAafPQublw++4NkUrwepsTbq1Ew9nOvZkfV+xKtAJNLeKswhD4asz4PQ8DR
QZYpzIL5giXaWE3CQEjgTKsE2O5OZjMnjNz0toRvX/t1e/bN7iLsmotZFcPKLGgzIXm+Q+2SHdNq
jndlC54BizIOX4mvEDXpkYJswVGR11cYxl3YaUWK6RDuSd7G6iyKMwqR26mVCSlkRH3OlVGuvXwi
JRCqFUM1kLd9XW16iBwbJ66CFdRW66JEvsAi7IsbowdmxdruPyDMYBaYRtUaxvq3JvLgkNFaXcli
KFa2rF02sgzKVimGs7ItwqSLqdliLUPD0BEVqsfy7BFmwWaMrW50B2tthvVw0BgK9mkZo/KWc3As
+umcS3cRkfwY+/yX0f03tRSUbMqPf19Kbb7l7+q9/fZzKfXjZ34WfYZLFoWDt55xGQLFP0Sf7m9+
QK2ET9L6PRvzH6JPpkMc/LEoub4JrP4fxVTwm8My51KBoRT/1IP+B6JPirk/F1MoElFIWLBNrSBc
cOC/xK9k6ZhAwQyb/YSA+AUc9EIOqgXYaKiP0HL9tuh3dTPd5pU908tLxjW6zpDdwKxh+vCKrmYx
W0gJhyJZlfAVaXyY6pvuPWMT8JcTfy1oo8T9bYmdaAWL+80xaNoJNvkdI2CEj8KMGeSEIPi5iLRz
C9e9/yGFQ78DiY+WJQwhk/Z000XOOkqL9ohBJ9uQ/6JXBocewnEhsJBT3F5qNjh2CwEiTbvpheLD
2SvCIesD4sHoUBltf1eGsXNsO/mW+o3xIvPCeIibEqJRw5GSsN4Yg09NviEgjptZMxUsdHceA2zX
RsaXhLzCpmWfHZuJPgfwZDO5wlilcdlfmHH2HZG9JCoyBBoJ+67fujXTK3A1NY1Tfnsy2mdPwJyT
fn/VI7kE0mCfpRU8RONwZUUIlxJd3qtmtk5a1UuueTmu7EAt/1OckHuenKB+iQo2sdnq9ZEo5DeO
H4clLnuVC3HOpuytWQQwflXdQ0uYX7McehJSvGSTBfWwG0y6iBKSJY/ggxYR4Ef68FnkLR8BAajL
Xx02i3sPuNeNyAxjB2W6uo+7MH+q0Dg9WRokgyix8gNPFKh5INYgBGwAUhXfCR+5NT1GF5FjHHt8
Q++VY7UPdQhnLJERxyjGiFscJ/UtZdkeYBSYGrdvbqYxaV+cLHjwOlldVJoOM4UFkcQRpImZXts+
bLxg2+bBIwWu0VA5qMfYieKjU1QdVW7cFWe8Y5AQTFAja78xxZmOrLguZEPGIpWCDggqbuZtnpT3
wrD0VnBMSTZ2Je66vAcXHUScmgWjjWjRFqXLVA2T7bgeC92EF+3nxC2uLYsld6owXbiMUoLRqyB4
6OFyGdMTEEXezqPvKHkJg858g14wbrqpl2sgLRjUXK5ltbOCNgL3oCdkVFPj9oeK+HhgWylTFqOE
IHoRtPT3vk8UEle53ZJOGAPM2Oa+FHDxOTbjc7fuP5ev/y70f7PQ2xa86L9a6a/kRyLj9/Lnlf73
H/rDvmv/hsIcvy1VbPjZA/ufpR4Lr4NgOXTx3BDKALTuf5pmTvAbSy8KcY+JOoLuJfby98YZEcle
6JqI5J0/gpX/k7Ueu0L9k+6A3QIMJ85ij/gzUJK/5jFQC6E6zDss8Exf+gZwYiH1HowHvf7ELD3k
38lUVKc0swz1KHXpHJi4JzX1SYi1zZdjaVvI4VIxEkmcejPM85K8qPQytok/wtYHLJ2GSYeY/acr
ffvjM/4v4Dm3lST24P/+70Wm8adPDpJ7MSAjOLCxbf76yYNuUHnUzu0lk2h9ZyUgQ1zFJGcafZNu
+ETJ9de/UASLpObPv5ItkfBKgHbsz1wz/vwn2b5BakptDFV86Xnhqep9I10Tk2wtIa/o2uh4NUaz
t1oTkZUi7k6vB2f0iSzzhjHauXFiVYcISyynRuoHxKBeNMwXdu/p26CUCGGrctC3yTJkym2rny+c
qKwu084iDiKWJfouK1vqyaZtCpxQekCmFiuSHC4Nb9R3+Yzax7Zm9539mh5filVXrsIkGtlJfTbI
jQKFb6+A61HJetyRZl303TDsoo4R6ARg8aFF696As8jd91YgjJ4cI2y3c19b1y24VMliKqd4y8QZ
v6C1fHIzgfuPNiW2HyyLlhIbWMd361qUU0YyUfJ6io+hbRmwrLp2/WqPKpuZVNlNcoM3i08UslUe
oE8k+rHFlzHLFcReZptpYnWXduX49vWcKd/Yef7k1S82E6zk2Lfwtljbc5BOtu+Od9AMmFKJ3NbP
dWBp403YPVdOkjcSU4NXujpw3McWMbYZP8R5m1+dQ7lCTDdkfDo7JddsreeGyt8A/Z0sigHYe1Vb
LgI5hKPkcGXU9qmKoyd46+HTD8Mng9i22GDhPScemn2qyIaLJCeqIuKn+757SZDm13uQ6gsQscrE
gOVUcFmkkTPc0Wxz8/2EtXNej7ZrW5fxHObJcV5uib9cnJBkN+5fLegpNAZMRJn3xhLnM6qrhK7y
2aCHrCGe8vIusrQArYG0+m0He4XRI5pqGsyer/wNcIx8Sy0Qb8A2WYugUk8PSLX6a8MNNYS/FDYl
PacBRXjau1fTFHtPBj3eazXW+a0QWfxO60LuK4PKei2hW72XcTY+18JMNSoJHtlEIfMi2LsP1kmq
uOJFHmUTHXIP5rALZ+fJ8JquP9sSIjYbn89jM7Y+l1fBxmtvIPa6Yte5NOxzOseNsGgTktUKOTnl
ibQ/VKG5d0A5HQUPmvb6K/9YpN9rrfSdLDDKpt6SF17FPCMdQ8MB8FNoPWCO4fbk8ORI94wU9xYl
CpwurJP1K1eGl8tPS17KjHjGaNeZUOVeusjVd/iJeBGM2ecCS4in3kXG8O3SRQIO6o9u+j4eU4Qm
uE71rSPcZk/sN1kmohy49D6R8tDAdIZDz+JtC7f4m7gunPXpn3y2isoks9uHbJ4N48kY/LmBmdAa
7e2kEdfuSLFj+Z3B54SP0qGSvYvGFMUVOlca8aMQh3l0WCDmqeBatpgvCJg2FbPyMFxCX2skjnv6
zZiNHFaV5Fg3+KPWnw9yRi6rhhEd8h574/JSkPDC36IVOiMW8wre22BgHQmsIPFedB4M9k0Kyb9B
wWBl1YcvlHWdeGA4kVQX/E4gZLTNYEG06VtrtaiYVu6A0l1EQZ89t6wQFhiiaHbbm6ooS49+HR2s
cOvnsUHyTWbxNyE3S49d43PP+7y1rlPcpPo5AIOafXP90qYnxRkyjraFOdr2TcH+MzeMQhEiHaKS
MzHSy8oz8WzagimEiy91YcbGJl6UmaG4jIPrUpjhizsO4J5n694HGqzWVlENj7iJjC3Sv4QhTN2t
Bbjtg8hD2DxwD7NVIUdCTYXFMCLxC3dvdIpEo8pJG0M+09kcSP6tXY8yqKqnqGSRqQ41OMGnjinE
WhTmm4HjedWDEF9lU0lgV6J0sLcyO/6Sd5H/TcciwivQljd97p0ARdDWzfJWn73Kj9/g7pZb6iFn
g1xZ3AVNVL5ZpNHvbFpj0Rpgmrsye7+9DUlmXPughIjRncE50kHNH+208+l8dv1uphexMkat12WL
rmekOXsz5gCRXdwL2wH5y5llnST1cEjuRye/Vb6pU067nbPDNA1/O63otsuKxIPOyx9V4WDsbfsS
5TIb2CbPmvmYG2G2wwj3/9g7s+W4jW3b/sr5ASiQ6PFaqJ7FYrEoUqReELQa9E0i0X/9HZC8fSXK
Rz5+3+GIbcWWSVQDZK5ca84x4WXIAfhR7rose71ZvWfTqZ9LG/zpOp1VufUSvfoQO87y0RZImjzH
hj7pAFk+1w4K9CjpizXgEPUVLgFMLUSie2NOo+2AzOtsR8q11rFOnCx6ZMqBtWqM/kaqotp5uZxy
Mi3N6uDGo7GNbHFP36Xe6Tj11w3v8RmVR03grNE7hxIDTb+ZCrc7y9YKH3ygBDuNwJmtTThywOBk
9rbT5DhnLW7lDQv2tNfLcjoMmvAPc5sNm0k1TdCiyQtkN6WIeJTzvk/6+TMW+xQurk/Idtn4+T9o
MX8p5nCSmvwjWIwgir0dgkr8zl6ao8EY27rZQwzNA30w2YS+Ha5Rx1c3IU/5/vd10VL1/FwVucRr
Ak5YvJQYyJeq6YeqiHBhuCCD7R9p3tYv2KZYGOrWoMb4/XUYFv9yHWAxDuWyQY9Df1N99TGuHuVH
IYSSpcJw9YY1e5HG2WPIgvHvL+bqOmpmCmR8tm/mycBklRZRBB6/9farRcKkkLwEUKf9ze8v9Wsh
i78WdR21OA0Xd8H1/Pj5ych3a23UnaPpTOJcLtIYe0CBqDxitJVLe/hfXw8mkAF0gtYOs9w33R1B
kklV5gVk3DEOn75vQWXMxJh+sqIaUcnEx/v7a74RiJNCzZsj6JBNxeLLe1usT0VktX7T0mBxSqor
FzkY8DiYH+SDjwZ7oIWr1AyIW+PPsInZPn7/An69SUmQIwOIyGWs07b+5k0TBSX1MUda23VJsx8G
1DWjGKp/SC7+26sQcO87iBuWSKGfv8o8NIYyTJRzjOg97UmHRDLrEYD9798LB0pgNajXefDeXMVp
TYNwE94LThNv7RApHnwbdf3+Kn9zWyLxMLFhc9pZPNk/v5dMFhJNUmUfDeJAdkkTc1P0E27ozRS2
4tzWYz//w5Hu1/WLNZ01jLdlmfzpzRsrE6BxQ+5YRyIxnWeB/u046z2lSJdXwFCQHdKoVzO3yO/f
6q8ri7ckQWB/1U3/1wh4HwWtPte2gQWYpzusWCdbp/fguyH0/P2l/uYtcnO4CGJ41DnyGz9/qi72
Pi5VGIjUFllUIaqbmYHBC8xmVuzlBDcud83vL/p37w8cmEdH2aZF/C186ocVukc6a8aAvI65I5t9
WVjmIde9eMdB5x+f9KU18WaZ9ulO2JZlub7r/fqkxV7j6awnx7lR6NpSUdjkWsMyvdb93JwrXMXM
8ifK5HGgrhuotdS5l9jIthZKdg4Xlf2Kmld9FqjJqDpniIwXL3Pq/B8+lr97pbQ+DBSzBu12482G
UqJSSfBOcYcXJhdKQpSQ6aixX/apxa2W+pT1v/8mxK8rhK+7PFVsz9j/6fT//P1HOf2SkD3uqNH4
bsA6L/mHUMaxeDWCLTOuw+V+TxNxluTovKAGnAWEWX+8SmXIJZamm+WWKgm5HCL3eP37F/h3nwkr
JfcKU2Zd/+ZT+eFW0SX6qN7jqS9mj6Jbt9OPItLMo4K2myAvZKD2+wv+cm86dOB5GmjlcIviUP35
A5EJLCOtmeZjb4XWq8JIkK4mWXKbjjWn8X9/McYaJoMSn6Xm7S5A6ouvR9KfjmM0EsdeYkHGEMEp
x9ZrTkm/v9gvXzXvzPNo0+nmsuPZbx51kLWiVqE+HZ3Q5mAZJS13Fg8ip8TfX8h4I34zPIflcike
gAWzpb+tjHJEEaNTuwMVRBOri84Zrgs0T7XZY6hVs7qpAVMTwxmhpSbfoBg5kbhms5L5sg1WcrzG
SUafQBs4LAVKoO+f3abZ65pDK4uul7nV86X7MciMw/FgRNOlLfF7Fv92IXZswpRsGqa+TcjC21Io
KbGku4VSR2MG5zCQy3ODoSDZRTq5cL//0H650bkU94DlIipZCIpv7jucaEbbj6isG9SLKJdT3r+s
pL/RjLG6scrxH/uHy+71Q52MApL10ODRB+ZiQ3t5u9zMhYkgybaOjhytL45j9Edwr/7Tt4aI4yq6
OhKW9mM1jsY/PGTG21vE4sqO6TgwI3UD//MSC/xjkWnlYZswekiPAuN9MeOVhb3MmA2rnol+bETR
gqcqQwZQKWQIflTxBJpNlOyNdkIPYxjpdNW7gi7inC39Gtm4y8ECNO9M2Av3UVMQRYHpViQXl2wI
QGYV3OS9r0UZoXeZZ6LSSNX81Cy3V66xGeymthH1EdwraXmGo8aLPYy0xkg3oe+HwIaNPpE91Dqi
KYzs1tYXtaUusuJ+oNtwbpxW241W4lwqJDRIAlzSkOhiY4fXXVzaJ9rSIPCUa3eQ3aymPpEChVgR
fNiMD2ySMwfoOTliLxIB3gO7Q6UjYsmsrZOJ3dL7hnpfvZpzWlY8MyKledQhKhGfh8bLaIprWJEC
f6yXZiie5PjSTyN/djU5VwenokW58xs/jPcOsUUyKOXM387S/bP47CEgjluf7C6yEWuetbgkU/wr
3XJ86JmImCsRjjL62SHytBEu3lzEFxNdRXXKItm398pUfCFG7fJ0V6Kos2s16+wXTdcKuYUROl4J
pfBOkeMswZG1UJ9HpfMucJ/b8xfTKTvrtpFiaUUNOV8zLht+kLduv9q4ReeHGvqnj1AvtU794q+m
o4ENHqlFm41bh+yoJS1jonOFBoFGuFdMDgGvZshvRBUUij8wupcHOaad9jBWCZeW2cyu5eulRQsn
zk1l3JVDb7dXkWixWmfcLvGFYTBmITG5uJ41MscPfd8ol+Fu22vBXJe4dRyDJdyeMTUdy7LnIGG4
Q+ICug3FcAC3iC+5HUWfnKsmp6fFhFPNuzHnDIu4gqEwUe062j9R2k2O5cnmBitj5MpnLWnYG77V
AfTsufvwDtFqiJ2KvhnjfNyEIY0QT9Jtq8avqC/CC87A8fK9BWfnHS/GjCHlWKlhvyZhTPiv6hSi
lu+PFYzIxavLMzO4YHheSzuh9TbYk3gvRhEnzDNBQgQGApEuaBybu0h6ixEizm0+V0MtPXMzVd0f
UwJ3ZjvCjrx8H80w1H8NbXMpJL6BAb3KtV4LkS6d2Ib2/KpOOf7g4qMD/237cxFCN5eY3pV7Ikq4
Q9SoJ2O6xT6sqxuiKnlMi1pj0pBPFh+sBQPK3KaMw5N7VUpeiNDpnWxrCOTXckZc97EbXVNj5uza
WXb1Kn/sbu0xhxuUpiXSZAhA0xdPY5KxST1pWPeTqOkCxxO1MVNvMbgF+zFjABDoMe0K7hWLaQ6c
Shwh7gcK8wzsqt20OKtJ3ugRKxE/Ohf05rXcTo95s1AQp5ymJBaccvZoSaByPha6PtJqo0PeejTI
5q6HMfltT/nvnPQf56RE4P6w/f6SWo8or339ObWe/sPyM3+OSYVuvWNjcjiHLV0Xdv+/xqTMz0Ck
gexiEiqonQ3qqD8lMRZZ9zpsMp3SkXans5yE/zMmtd6ZNDdIrTd0zsm0pv4NBw2fw8+bN+cm3QFy
zLCURhdHqTebd00qCXieCQtRXRO1lmvFQsGN8TnaRDlNe5ehTglVIcI5swwmbiMj1wjKiOLPCilD
tXKjwsAMpcdyBAUjidlEm+B8mvHxb3BWEZwGdGY6VRKl9IdkJiejUrP+OTWjEaBAl5Fnp9PEXihH
fW/uEs2pHt22dY2Dkn7fH0czaYbbpnbKTczaTBLsAgXPJgeoBmt4ILqwXdmTdtK7qU6AiXmQRdJy
NtZywtvQGTTeCQY4WP2okw6aeuILBXRno7GLrK3vhTGopaG048By4uQ2Z3c/dHnn7rWmaw59VaBZ
bkhqvO9JiDLSzlhXho/DG70I8WstM6CIxG+ypub0w2irmqY6PMSOEUnskxuxJ/O3IVQcrFjYouHJ
gRKvqFGJVhHlYrKueK6DWQuzWaz45vmU9bkTl8RI7CN6QNCz9ZAiq8a/8olPBC+o8tOweT879Xxg
oKE068ZtyMndpA1ENWuAd7FrPOLYN8ZoDLeYqoCa5Hs3n4TQgSrPXtGLAM5l3Jr7NBlj6uRAZXXf
uTegeGnfzoFQBDuPG+AhXRrD6Y0aOsgHUWTC728QBRNLwYojOIx828Jdt8YDZeNvNw1xVejsLzkc
nPGzX2JA+OqnQn0l9dUYzLOBeaJgJlGEYuu0ZEjCmYFx/VxjUrAwpPr9Cd5LdmQHp3hCxR/GwURE
6yGxoO8ihsnu0cWSW490fxXG2XCnprxf4VRB6ZuPWbWe6ixicirE0YN0CaRGn7dQQrJdBkQNtvN4
bZ3Owj2u5cY68ZsYmLBsI8KF4dYGaGzQrxvYLeh96327yRGVH2DUNtvZn9VrZdT5J6OVwtz6GTbL
VSMRKbZeiLUkwn8K85VQMZgPyLgsM8qPKSoYsYcZ/DFOqeGCubLsi8YnSGytVUcfo8bSkY5bxbYY
bW0HA7Vcu1zuNnfMeidmMd6X0Kh28ZB56R1xou6qkB6StczQsxtDRHJYDYbq13QSyiWSwT4nxDAS
LNrm1olycj6W4ayv5lSfcL3Er7zGdOthqtt2BDQ6MS4b8pmcEw1G5rljFn6Mm5iQeVy2uzoFyZrJ
rDx2wq0fKXPPsJbs++XOviNGQl8j6Cs3jhS3MzAb9E51G3gmMXIe6SkNn0Ctf63EpN8RLRw9R2jD
bhppMVPqs3yvcgd/Y+JEO+Kosx0NRoDgkqg4Y6CEByfkP0SWRrwpioYTcIunGSJyaaZENGmhc4Ig
bZ/qRJIlk6rhA2BZrAFpNg6nMTGNF4Bg40i+3Eyu0JDr5hXHVrcRTJa+aq5Hk6rl09hmc9oeujb/
xCHeD5okpPOo4ZDyV1nvWA+IA0dSHty++mR5U/TeTq2IAC6ss3+0RYUH2FeK31FrB2aQjMDQUaxk
hxd20J3qmI2g2L0UmC1TzXFrlpG3H20HmzTEB4LxHAqS1o4IQHdJDL4Rfty9b4ELBzmfz3sFvpHb
GvivMYGSi9GBZKG/1zCioCAzCSbycPHgrLZy7/PolPHFz71k3xOc+xmasL/OdebCq5oCwdlMlQWm
SRcgJtJrWzTeYWKyuM64ux8E/JxiJYbJ2PudGQZDOz96OulR02gjFnddmZxTGjwrgLTmRywMBMaR
hbUeB2GROoLu+8X2BtJiRT1fCZZJAsttBiw8CpqNmVa3Bq4fmk/u+AkEUb/pDbP9GgFUCjKghpsK
MDzHHcN8Nsq5uJtF4t/1MCkuU0kYCdKv9mI0TX0DfR9EsmjmLFCyyeS2qhQJIri7XimCm7U1AkrG
vlxhABgQ6cfU5itLtNHXkfz2fdmX7gvSiVlbz9xam5klJ4jbqXdW+JEHvBms/B5itpWLwu3WkHMU
8ESaWysSxiPdlfrGG+z4WPlNfZEixg9Hn5FP1o+nL8nUkMHdRzINCIMHL6hP0PGReRQk1jGUF0BX
DjP53V3A8eALQElzI8bKx4NuVLdjSsIcWIHmhMqA9EVX23RT5t9KZnDJyp2SOMQxjIsh1oVcC0Om
H3PVY6lWeX3r1t70oA/kD6w06IhXCwLVvvfa8VCRR2kBzLLw2uKSv2v6OvtQ+JX8gGG/uZSQ3fBB
h8lNNzL0jMHvPorGmjY4JNLd1PTTJpwQOcJ7Z2Bs8W6RyLaG3h5KQMWY893uEekVkvzEUuVaS2ym
mjYJwFKP9csS5WpuXC+sjuWgAdFGpT7d2OlUZEHSLMz6yjL5HNvh2RpdpIA908hpLPo4SGU4H0Ui
nE8Gv18LqrBMLkwehsBJdf/DNNtqr1szG70HyXWhR6hk6ySYBV3gy++BCsLe0uhNZaso9BJr7Q3j
qZNVgycfnMh/i+P/m/OW9txvi+Pzlz+aV5W9/iQi/P5Df1bHvv3OFDTUf1QK/uW8pXCmew6nF0cu
fff/Xxwvllwaj54DkIlG/I8aQv3fFMPGWx0csnWbWtMy0d4tY5q3WODc7AgUD+P+ZBaz38e3c9YY
BncR6QbpVJ7Q81hTXRwY58RfWAA5KWOMGN7bXuMc1NyGD3nhhfOq5OXfNiJ17oxGOYRi+LjBWlpD
HHHRlANvb7QtDZru2VJFgQDNlem6N/xu67decoZ6bbIyNhHpez2Y1pp5QWCjljq3UWFjh9TlVsfE
eckyvby0RFZcCQE2yM+lVfPUTMNwXObiiNoZSj7rkAifCN3TaMVwaL3msVdcG6N9IkZkPkDNGXeu
cKOLA3Jl4VM010WksTV9Xv4cAufRBrM9YryaQY6aWdA7yIitGPgh8cQyf98lhAW5biH3iarCaGXN
HNolu/iFaVH8QULGnAIWlHptRr2x9WOX6s+W8dUeHTKaddyuiNLKkfi8gV1eqsciTzgIU4C6FBBU
lIFO5NP7su2yQBfjH9kIQHiF7YhFQOuTk0SWT9Q5LsCPaAkpASTf4WOepcUZFXm8JXBvPjbF0h+J
qfnXee+5S48AwFoaasmFdIF0r+XR3ZCl6dZNR/hisZ0GimneXh8qyom47E6wQ5JzLApEPS1ypQdW
xm6b0cMKWicz7rxmJMvRkOWtK/XhxII47SESma+kClTH1Bftg+PBYGAZ1DIAuzUZoE1seAdgh90t
/QV9K4WLQzDMy3ut1c2HdrLaF8Z6+dfJUPp7g8T7tcMB6K4ARXQ2oUriM2uf+azqKUDL77PkesWz
2SQ9ausldJC1ejOUGY1t3dY2Gl7oz3JQ6k5g5DmlYzsGPqAhWPrcONGKdHf/0wJfagLZCGBc2ozk
PRjzBZNPdXFfqsVA6fiyZVJaALnUq37rMVchTcJ67Y3eu/k25EclVp+tBl9bV+oFpTjJ2Fj4wEEL
zR83PcXvqSagZZ9HtbdnC82/4OpJL5iiSu4pIqQyTNPkAdih9smrFhBnGCmi1eQAVHqF0qC7IW/V
5XCPrynhXLlCbZaulzbJcyIK/UMzpuOJLG19E1uqu03cGmduVcv+HhLK/AKtyLBXWl6PN/Ahovew
K+w7T1orjk3RDt93eUnQEV2NnrNhZpvtEkk+Z5RIgshLuyIqbxUj5Vs7qsXMrYZSG1aJhynBJMHl
YPiiOeB4AiPoSWGBF2d7xULXhMUTy0hNXZMDOoqkvunJ2NwkWo1hMsa4vVCkanT8Car/eJJ3RVRE
d01sGcAZHfNjTvI1jWCtGT+oMHYjwF3d9OA4mYk6vsy1zZyKeE99WRy7GWP9qiDvOAx62MP9FpCw
jrqNYXGg2WVWnDXy1p6II5D1isjAEEqWlCErSVITAFZUn3OhY3ftnGK8NWcXQ2WS2Qngw6nXnqJe
KX+DHcAPaRkQy2cmIq0C+snS2BJoNBf4SerxnjRc8aFRYdmRzmY0tdzmTmXr4y1GAm+E+W9GRYdw
icokKnw4kJPjkfOpd0p/gOttTM5j5BZ1eyUhouv31TK7L0k+NpQ2B62XFiPRA72RDQ9NOkaYQSPO
i2UQu7k+2I8FnTDpbrwaUcFW67o2/TzR5hDZzuMrati48EL9t0n2T00yNDd0tf5329iFMLDlEP5a
Jj/XAt9/8M9awLXQ/xP35YJsYLzIn/7qlHn6O2ZaeBYMh3m2/c0h9p9OmfGO/8vxdJps3+Edf3XK
TMIEEKs4rvAEo9iltfUvDAXGN3PYj2MuZA2WiQZNN5ilQFp80ykjkxCFRq1Pe1Sa2bTultBQgmiX
nkZIJU/kSIqWlMq+KbZD63CCNFDLHfDBEnM3y2ZIgzgnhZN8jjZHYIl5Qlsh+EKo53+q8V7fDQ6k
zmIS+tpKcGyv5oLqh4dYKR61yeLYkhuIUE0lNODwU92ucIYvAJ80nsGWG9VTAw/zOKUyPi8uOOY1
8/wYGpqZkF9PxlXjEyG6gZYiH6KsGcs9LCmUGWLU3dc5ZWrCcKaKUXcycsPTVUPL5vEErRmX+wRH
2RdNiOjTMGvJ7cjPPNtTlXawQnzrFCOFZhzmwnijvUWiOerfCGi7NtgXaMv5TU9FcUcEdXvbD0rb
iTBFqq5jSF1VzCs33gBlhMDqlJxVPpRgxPm70hqIRjnsEhz2dQjTMrfNR/QEZiA0l3yzzkCOUTpR
tykxNezRzkYbiKT+ygLjexxmv7i0mulsW2cu7oF0VZe085o70JKWsWIzK4+2S/My9eYwyIbY3SKp
0Nug8Yrb0gXev5lch4KCeHlCakpb/yBctz11lfWMhrt9EEqVJCg3NPPXhpaiBi46L9uVTWc+ocky
toAMPaYMiIZJmwnDWwunAVFvOtgQBnS3tt2rK2uvR+gPs/QjUmj9q9LodFqFuLr9pfBz5J6DJcla
1C8WEq+KGALDPGOs714WhsRjU5jjXa9SAhgLZ4MBog0IDeMMG7cFlrUxPyKMDE9+nZb3lAvWLTG7
HxKAFeuswlQ4Od20LZEbP0wdaceOZhf7gU1br0QbZBREV4jM+l2nKXcdjtZwiJxql6VQsgsQx0FM
aDgYxqrAj9FX4T71Q3vLlpF99YfhE+4+bVuhy2bg0eYCnQx1nWJ7oFhe4lZJj90w+x/oQhjW2int
+4q7jWxc/4YIe0JRPemsmZ09MwRhsDFilIgNbGr25PEqVWwHUReFNJFFcsz7WHtGghUd6jyWVzuv
69uJPvrR9ZSkNIinTbNke+RWE5/NXnLfcNuijHUmY4fxB7V6GZOBrVtAXWqnszcMu8frNLQLESux
KmKCrGKKxCOyijHZ0uQbTOTfYracbp0OcRR7V3qvtLSCSfO9jpDXzB4ebLVYpJj7ZLF4EjT80g3a
k+TGaXT3vvXiMP4wWjOhuR1TWHMLl3IREDqkCXvLjI+wHOODD4FEJ1JTQP1oQjNG8SAqzX4mwrdM
D2ROILXJ4cnwblKS78pdg/Gzf+gTJuMPKOY7oABY9VITSCcg4Jcsa5u5XBMXWroLQE7h5a8dH/y2
MkZWti6JopdCJBHa4hjmLynOFbJKE9yYvhnxs0RYQpORt+9BYqSiTkvPA41qtvDspxb0VfcNc+9+
Z97zGfkdc7OurY5E2JrUYmWYtSb/wup4IIKPSCyslF0bvi+J0uO4IBE2MSeE7M+DxXnjvzv1/yXW
x0cH+LuNep2otkk+tf9Tff0f6JFd8cfPG/b3n//Pfu288+FCI/D1HDC52AD/2q9d9x3SE5wjCIS+
273/Oryb3js0kEjEUCUiIXId5Cv/IWd579ALE3a4KJjQsvJX/2K//oaJ/nG7ZnqGGAVdiGHZiIiW
d/6jMGQSZSawaen7bKyY0XxFjXUHW+4AWHsBRu+JdDkqHcR72D0TVb9KTbX+4cO7fL/Wj0Y+/60w
ZnkJaFOYrfGeqfqXv/9Bc1Yxvqs9CLx7AjJJ8rKeJ78+KXgZZQEhka1c5wy59uuItNo8vK1ZHHbg
n8iwNF6oaskJW5dE/N3qs7ZKKm/bUv3XGJZkTAvZsrHN1ela63ka9fqTBWiT7XVZxvCpfExBcC5/
nCwGcMn0qOZqlxRqpbTNZEN9qFpOeBEtM3qYOAtmva2W/VaZZEBkHWyP8gm+3qrhntiPnHkLYmZo
0d5E2CdWhGXcW63i+Yf0lHgaO1kKTrM11UZlJ0vr7tFCdgB2F4iw3947/oswtY2KKDMUrwAn78p3
wKg4+LLYrvU43jAaW/djETRddh21EGASJJEMGlPf1h+xqeu7JO8umCFuUlH+MUddQIJeIJ0h30EE
9lZD23KcKMtPxWjpbFEeoHJ9+FRaxEygrz+VarDhCtYs7oqLQV7NTFjsafTfduD/qR0ovjsX/vdj
wO5LhazqpxPAnz/z54pCmU9RyszW/Y7aM3le/uwGevY7R+cZYgZF6UlFz1/9eQIwWXf+s4Lo70wg
4xwRiFfnBGn8mwWEtefn0biF2YSjhQ99gh6lgbbs58fXN4hmDysv35te9DJA6gayx0ARUvhzqTkP
Ta/taT/LZ68QzzTdmKeBjFRjf2wn19vMmjQO5lBMB5X79ATFYB/8DowKa0G9RklVBm3vN8xFe4cA
H9dbV57ST1qU1x+Xqf1VM6hMsDJ1azMf5gBEXrINtZL0ksi9AqPwLsOcQDhoC+Dy6Kranla4OUi5
UZphrKfBao56SzOnL+4mRcOjbq12leYEYSt3vrex/60rnJOokYbuPdKhLIimMTzECeWEpYn7YTZt
oC/RBwofksKB4O2QsMS3LVoqonZ4TbpOY144qtnYmiMvqO3BmeZPMDxXHQGE6F0dm2CV/rWiuln1
JvEDjVWPfyQwKdDB0RoxfSQEBAk7O5vkgU1jNe6OoCnFfDofmb2an9t0ZATTUQnQ4Leg7HavBnL9
QGt72moZY9MEBRGopWQHeDsCROajX3DLayHVts2nLSSbu3BK802nyXFfm5DIRrcSV7828ue2t+sP
wCO2BIDew5corhmdiVOSe023Sj3AQkHY5cgPzGjYGB6RyRLg6XM3VwmUbswzptLawKTQHkgV65sH
aUI8Mixh30BKJ6heK2wslBwHT2FcJ+eGUNXn0EcEzvHPfxoLM2OsVnXIviqY1nHvFxsFWu2ASNq7
d4eBziYKVaJEjN7etyaAWpcoYeKv3D5/KjHt3th57O90IxdnCyy3u5pFjhI30uvmhFhwAdWb8NET
3+gEkbgknimjLgGChJzX5kovj1KbwWBIr3RBIOaM5VaCgv7MjlDdTPjstwYBJR9do0fNNIYRScJG
Ej6lRl49eAjiNmORVA/4JcXZdBaJ6WJWR4acfqxr+qsrXwBVWxhGYluk2rihtzleJoz45456EUli
ZI0bAGB8fwNmTgbni26ZGLl1I1F9Sd3Mn6Zk0v9oOvSFmml2aRBRyOyjpuK/iRGo8QFqQQ85C54x
Kpz3fWWXeMX4la7RTd1aLxH2ouzKn2yiZrK9rXrevJyi6UqniNdYVFjtM+KabxS7dhaYE99D7eX8
QtGOsdzkSEA2U19M67Et0DPy/O0SB0n8aoRrydEIc8xy5sqfalEm50nCnk8kE3SBGuQLeU3jJewq
bIjLK0tD4ha2cJX49Vj83HvImWDK7MZ2AjOMvXtrCQ+ztLb4mhexBbmy7N6rlDFe5UwOzJnljbdm
MV05tLWP7ljwH3L8Ng52zyKyRpI6bXRf9bt0sNKP3+40uDJcjcDavluha7RvkhG2GzPv6m6o/The
xVGKeXuW+ZPlDwYCFy2pNm1hufcERFmHKguBEYxDtW4aeClG1AEAYDzBqtdZ5VErZr41Ixxqgp6K
9nNLQsu5hLR2RxN8upG0Ka4h2tzrILViE3NHwv/z7fCjb8CyGewiJhM0HPlFdOfvG3dahHlRrD1U
s+x3s5NWD5IR7K6CWgLQk28L3mT1kEQTkkCVhWUbiLb3oKfzyU2uZZ8Ebs5w5XgMXNZOxK/vhilC
Ijty18/8T+J5Lx7TzsCQFemD6XxWZYxfY7pw2H3fy6ha9Xb1EQUTAaOcSXzv1mi7O32ILvHSB8/b
eF+kzVcsbTe+WUHlp7VTGu51VObW7OMdTYeniPnPmn6nd3IgZZJ3CKJVaSujnqrAM8rq2rKPdQyE
KsJtGXherTp9VCIVZwfz7zoTXrR23Jp+h4vEEE7WORlBL47pGpr30Szd8CJabbwTo4Gmo4omtFuQ
4neoYlO68r0FG5K+tVtjj+l7+DWtl8l4rTXicwkEs5fGF1niCpIIN27SuVNMJgpxMA37UyPafenZ
92yTeZD1nXlHdyV80SLjWWke0V+I5OdSFdu8z9tVMTHX1woSmNCILDxrPKpUWk710JmWxfg5nT8X
PeBFMoJIuIkVpLXxoUy7+ui72c5MiWa27ZkvmASH7Si7cJUOUwa+XDw6i4zY9YllHqfioCNF3yPh
JSfD6wDtlxnGOr871tFcb7WqepE6QqKxrJBJZ7p7RGmV7NLJ0dd2H77oopC48STH7emrOdXXOvHc
L4kBickapP7RdbRqjV78fStU+joB4dzwrDPqInEmIL5ArULlt0fLDy256ueZ9cDs832UziZ9CVAk
6HvWhh8+yEJ9jqc23OjYu87o8QeY0yC3W0jaBiPzciY0fO6Ji6yEcwYvm91zW6FrckJxMefJ4hDQ
lZxcOi3F8ZrR5ybseKWEUX9RaHo3Mwl7AEwYTtb1Kz4y9G6e8tep6J/1EBqvXrHb+xjqdsBhPyHb
fyEre6dPMnwcRD2tAB4QlGEOWYAgSbttLPsxnEo9cHgMmQiV0bNHEkGAXGbdCt07DV4H+gEo6Gci
QvqrayfikSyQpYbAahkoy5mOQxtSZPdExY8EgKSPqdsxrwAy+wXzd/qlbRraUU3hEv8La5O87n7L
nj5sM8XPRoUJ4K/VzyA9qnvYLiBiY0llZSIBGurGO9d9TYwayoqPYOPMs9NaFWgUJhMN6fHrnKeI
lbxNyCuISxt8QFZ4/gqNTXTqxzZDlGWEAp2Dmp0zXcJu60USEmfLGATgh3bniAYQpklqKl8iKcth
E2mbPku7k2s3kMlBXJJNKu0aoN48sA2iNzlXdLSPll1AlZJ2sQmVDJ+QObdXWCBJSpymZA7T+qXG
8NazD1QK2U7oldwkY87sBOSltYmb8WtZGMadKKL2cWiSYV/HrvzgSDDhhDyUa7AZcTC4g1prVg1e
0J0PWUEVVvS9dtQrFrAaVci+Cm0V1E2bBmk4hVsa1B4vK5fgTvI/yJIiH7QJh7vM0fTbJiybLc7x
ZiehGgbdkIUBNcPtWKX41bRdZIDAz735JW2aql6nZc8scJANFC4gusQh5dvCollaNZm1mwnAHInT
WDpPbAMdkCwbhcplzqjxCOtT7Fy9dzcNMn+QiLX2HpitF7P1z6Ks1ZfBZQopnand+rUToUuDJYoc
BrRHQ8gZhGUecbxIq97Tr+yg1V3pMlCrF7CoYtDzZNbjDkJGtFYmuBHHdM8jqV6o8jx0LKXYYSpT
QS7wEvRV9EWO085s2fJ6IP2bPkn/H3tnsh23kW7rVznrji9qoQ0AgzMBsmUme1IUOcGiRAl9G+if
/n6RKldZqjr28R3XwJ7YEjITXcT+9/42O1V9nq9SoCjhAAX2OLXROY3bBztynI0beRkQFzGfosxL
/F6JibkqiVsf/Jynq3FyB02k4zbDc2k0+xy2anxviazdcAvLCcwvEi5Tbl9j+PgpZu4HUYe81nIJ
JyzzcWb9u1JdgOcnzOIyd8jZZ+Nm9hqG+g4W2Qze0DgM9abE5WLidxmT5WuSM962McdFtXlQ9OW5
tO81KLe7svKZt9nD9Bi560qCY5U3cYaXKhsd+5rejc/taqUYoMRDit4YZmsPqM2vzA3Fotlty7j0
i5zrhY7Vav2CF7S/nkrE19QYv3UxlWiTY47XHnbdDcw/+8qGSsvTj4SWD7KAcgq6CmOWKlszGqzN
orlvQJqioC2H7H3q4yVMtQ4QchVhXtdSEmSZrod5S0vnOKZzGDVewquSWOTc2/TOeP6Tr4gOTm6f
YGVMQVFkH64JIc5uS9rtDeWXs78mOPU3pIH8q4VitUqNTFj0xxizvuj21H+4TJXPE6gG1vHSPlh0
HRy7zH/UR4pLiamMGMPysc+PKw1xkGKopTzbaafdN0W5vhSdXlzLpPzKBjQuKUNshwbNYXVOpIjq
TVolX9uy5K2vteWHOyKkB1PU97uB8O+uM/TuleWLwIps4T+FHhyyBnqw0sy5tbI1loEBt+0Ku3i7
cZeVO22opk9iAIjaNtQ4rJgWgM8tPdzXqlWFQuQrv1St1OMgwsO7Kw3id7wHOxeGa0oSHsuj730g
PvHgGOFCPIAj9V76ziUCZ5UIKEmtU30QWbbGI98F7T0AGsdlUddbBFvvFNV9vZM8GBGi1yO1mRXo
YzZZdbrmNyky0CskJ4PBtAvx0EE7p/Uxo+rd5OC3bcyiJKsh2wA29fsnzOwdSJO+ptLTgiPHe3Bd
wjkFG09VvewHbLRypF25LA+u1aeHriVVMmvVt3yGmiSpi2b7KM95B0K0iTvvQYBHuYuTvqHwGeU6
ByCIxZXuEgc26RaVHC0fc/cVH+yZjR9kZx/IuJaV3rEQWtz9CPj9Z/j7J8Nf5E01CP2fVZ+XVNLj
BFr69y6wv/+p33QfgfArTAepFt1GcTn/ofv4Jq3vhkATtmlNV5i5f+g+tvs33WMuxHCXaR18ED7G
bxkJ2HRYxnQ2NkhGoD7/0uT350Cl7RHZdAltmkRRiVQiP/0sA5mGjgveScTpEnLqSoN0lkGOd13g
oocXWtfvfqB/oxv/uwOCA0HvMhzdQ3z6+YAkCs3GbErnhDeU4exIIpoBynwnCq89sOExbv74eErH
+qdS/uMLoprxewFXYfL+i1KO0WuVxFeIEdSJeCcczkY+y4wnqWB5f3yonxXxy6E41Zxroiu6C+fu
56/WEdKNh9ywT7wkSZC5oJ6cnoKsgJJk0AvA0j+5Obsf0Njzwx8f+t98S64kh6vBQ2MET/vzoUn4
jovOe+ckyfwdK48FEx5RqshKmhn+LI9tYFb49TflCsSxADbTI7/zyxeda2os3Dm1weELDuQ2HRHD
KdMJY4+9C9UFG3uTXJXzzP51QcSQn5npkQmbi1QLdZMy9b/69WFCeYIyahwWhI1+mUVgDELHiiMb
D7PN1/Ux0uyJnfKv/79jMQDCqMElzIXzywUF2lsvkmWxT5YEoDVAP/hw+3J+GDKzef3jr6V+x5+v
XcJTWDscrKJsr37NoqfwgAgMDfYJS+Z3aWJKGqh+/iHp/4+VpP966XAQwDJUaoJJZKD086XDyNR2
4aqy+sgl3EJAv0w+RKOFxpojHv3xNzLUr/PrV7JM1zChB/AT/kpBgSBssBQxrBPwVNh41sgxjUhD
XyIp1Lx6be68s9niJlXwhIUUzzHmPX78k4/xr1ewYHwGKEHdqoTTfrlgItMgF0bL12n2evMKmdIg
2RBRz9Vokiu09SH+5aDdqAFYByLel5vXadDc/hd4iX93BnDfMDlUZxpX8M9nIKcmey7zhpt3RIbS
dZ3MiwrR2w1G/j/+4v/uUIJECZkzXi3mr1fU3MCh7dzWOqVgAx9+UOaoeOBR7wnOxB8f7OdHPY9v
/OuIhD7zBQ73L5dvk/R1gVdWu4qIdK8B5IzmtbIK1miTB2kQIfzPYFO/VtpySFp1lb+Z2QYnWL1R
fz+UbPKV3iIsFle6wt/YXsWGDWTm/CAmothEcDivlrPC6/QyAHkxt1RJg+TJ1VQ42UtFe1gVxuLy
BOntnJTWsgI8JIylsR5MDVTjP/6RmJn+dEtAzhFICLC4EFSZKP+wZv1ukFp5c8Z407KhdejlTl9p
mEMn0nYkZ/KBMHu5zHHIrqCrId5lzSK2VDSJ+66jNWjLLoDPSJ8Dz94I284H69/+YzbpSgIiunJf
mQBdk43eoZ1g6JhQ240YR2ubeMBHBdIZ8I7+48JTcEnUdBtJPP44mZBA+9Gt6VKyrasu4wcMqDhZ
7hCaQaAwNfc/kR4HpppQYm/Q8UcGKpAuWtCm9BNkZlTlCP7bkFpiX1Qtx1BoLOpbFhzUeN6wP9sm
I90UTKlMaq6Qxjaa16V2gahq0eoLutwsRGuM4d1m6QyC3HmR9B95BmLFbbAZX+HjWB6wyM13Go2q
kBSJx6VvxuJzyoAQijxHMsQifoGcVX0u3vPU5Gq/ZLwXw5cf0mjUGxpiy3tJK9/XZo3Mw9i67UMn
MBk5E6XmSPw2xnbpj+x7fIc3jEHc8IlNPDfpRc2Oci20ZptfNGJ6sNARsI8sS350sidxVZsGSXuT
3wcqpEuEkJ0yEw9KuX2b81SKyYfC3cmPvIxNYElIB2grkYI3Lp3/aWgW/i8tWqzjDzBvmRE6v+Bd
7UEnc355y1W8qWmVEgX0gTLpqNa1CckFC/HFaWMngr6FsmJoc5WohYmW0VWJQgRKJTOZDtQLeyGm
BYrsWTFtadOWqwZHDbRWkfNrLllG+g0FfmEjq0euuGrU8xLGaCv30h6B3JDI5MMwxFT9HxTbfIia
EClXcAxX9UKmSbSSzPzi0O8VMnxktOUuNu+bPo8Q2I3K4loeM83/hHeBv9brmT7MGhOVxlBUXIKz
8AuWCw2gr+DNhUyu1uvVLUgzGSn4gxEF610kTNQDSdaTapvF6B5jazUP6zpBBUD3sd+qcayevDVd
rguaHTctcgB4cI2S052R6rStklA7xkRK+Vto0A1pUa2Zs0ig6kWxKiC88IBWuOR9bsCn6afSTmr8
cbnvM+iQlkpW0VlUrcsTUojDQD5pmqucGkNWRgLu/KrL6r5vpFfh0h/KbzXB+O8eXXxHxwRg6AvF
UFzmLAJGnPNkCsGdltsJBYsfQQEYRZF3ciedRXydV9fYSIVvrCX70B1oMHcK/KFJN7iWIT3WCHl+
NhoTvZ8yeYuV4ujWPQ4ykYh9CzjxZCy92+49OYnXJqUlAB/3+ibiCRXepr0LqKi9vtGTnG9hOq+w
ZkZOoxc5Iy66qXoj4OX29BwqEITOjFMtRkn9zbCPGKiU2rZlDRiQVmae6ZkItwmaFxp29DAwMDhW
edscMxg4u8UZlm9RXE/bREu1+wVWzec0H+2wULzNpoLimbWS0Fjevbu9zf0Bi3YTmWUSDmPHCA5k
Z9Z52o09JzqPf9SjOsjBrbOVd5EDcf21hM/JtQrXi2t15pvpzErXO+DABQyKnkGy9YILtRU51FYM
UU/RRAvFFV0VYdRUrNEmF20TjpXcDU6+hJCzvhaurD/7RQri1jfmndQiazMUfA4/6st73kqgTOF8
JGdhk2ptYp0z6sZmdgatW93p/QBCX/Zc1Br8m/79wmvTzIxbQiqY7bYGz5idxAWbiNACmYSnbf8R
dzoPpHpVoFwoIlRBMXn/1AHgjLfeMDv6VrXKIdMSJRyDksKwNTSpe36NDJsk89xqobuAl+ylz/vY
G5wIi55p16cfBA5CKY3c52nPI4inMQuzpuZpO7OPkpKmn41gTPY0Nja3/pBA0LVnGw6gY+TNa4O4
xEcjX0p1Z1EVr2bdxqznkkHRQmvS4ZQvyKZ8c7LEa74vDYqfHF3mCoXbM61hKPit9KaWDqFcc14o
RvCPpHfloagXfEHVHKeDArwkX+TY0/LuWFvHxt4Xog+38nOxavBL0pWGs4NnJt7N2GVpKIo03ybT
1B4yTay7xauaZ2qs0O19MP/Po9OVDxSwfzeL9fPMrPs2783+wHNVAft85hr20JgfBPbiD4LX0yOz
Qs4cdzyFTIDZsOfG7gQZGTjTAqtJulfU1cqaPGnRlORueI6H+SDj6dD7s36y23q5xjRtPYh1TmnV
IFJkBIKzQGMOesInoLNztZ2NvqCau7NvV2rVbkleDA9l6rVhVxvyqz1qxbaGtful9sUIBq9ZzcCJ
TORH6VlpmBN6DqZhnXzi1QWPC5ysG9Qi+2qZxi9Ro02PSJeEz4cB7TyNnbd8EviUO6bvvCvpUA5a
0kU3vr2k1x2Y5yuNMlsRJGMs382UerASW/QWNttwMoSuYeCiaq5jFrCkO43FLHqvYZqAgWBYz7uk
qKwnkTfNYazQtOlQpaVsGdb7nnAmYnA8vQ4F7rGtLqWdXgH/mJ3QqwFbBV5EX9KNgJLc7AkUywO7
XO2cuWv9rKdQGUItH6A0mJqr54eBi+dm4g3/3RhbeT00zbifeRGeqkyWxYbJcCQDmoutIwifdk/n
m8GsgZWFxoDHHe9joOcouVmExVTyyHvN594KuqVwCGGbPEYtCFd9iLpKDbBZdiCJi6o2r3tUThAM
fsuEwitcmweiMX2rTTFEOx/K0C5uGDrbdmturUKsBzm46QN8mPaZwZ385AFt2QJGpqMKNHiQ4/6m
jz5JaBcnh76xGiYKoQHA9UMve95DvU4FSERarMBaD15nXNmnkMJx6Zmvo/QW49H8rHcTTra0x+nG
uM/aeSSmGFU1lbMjzOowfcckI/cD1+73qEgUjd3qv8Kedz8m0dPTpOMblqEsDAfjLO3cAAoYxX9f
+7Wl9x1s9nBw++a7k8zxHXwjKi5WHJn4amEwYAKpWnrAqSgPSE93Yc7b+VYrpmxrMhPsN37Mmj0G
vQ2eOKldivMGu/dOOe0mgWa74+dELPUAx37NbnWIChRdkwm6rfyC8Wxlztp9olmctQIByT6UhJ/n
4RPWhjmy/6OF/q8ccERZ1Wb+f9ZCH+uhT/4rfMfkk/4Mjfn7H/3NWuv9zeGvwhyL3kBIhi3qbz44
C4cbeBKkASWGqv/yDxvc39iqK9MbOyTcai779d9scSacGTaXagOFesG8/a/44pwLyvOfAgVZXddR
1lqXvxPumvXrZnxge1DxmqgPM/T8aesnucXCCZ1/nxAm24kKzkJIoM+791MLdrsJ+PNmwhq0GQmf
0mBuDXDso9R6uex0amFWj3Cu8ILY7FKa1UL65x5zDk2nKPI+v9Ep1cZ64+bgysJpptN8g+sho+7V
YuN49gqa+EiuaLgykFQIvzHz3LZ+GoOMX5bJ4G0ikhnDe1Z9lyXbKewEi73LwXLeJkY23+UJVUta
PY/aVm+hQnaMwrFNCKfCYGslZnIcZ+yuI3uAa1PrCMv1Js/EAb4mMROPXcec6ryCWCy/6iUfatOW
Uf+No7Cl7OwKsk6EecCC1tWmCX9xsWwv5RBzVAnuddHXOTlA6oFS9Gx3a1Go8D3lhB8c1jV3RCMU
iY1Kp49VOFi4cmOSL82qAX2L+GQvUNnlSzXpOSNJKgqwIyW30xBVTyyg69tekuU/EUKMHZZrpp6w
VycWQbKmMBj6Gi3pAnD/3v2c87lalC0WkUYUlUxdU9wArFbce16qdMLHnncXFTRo86DtdGMTsSKo
Nn4x1TvXw17sUHc6N2Vzmxutf+dIzITnDDLiQfL77dh7+GfCDRTXJcl0VpuQ3ZyMrIBgB+AhM1rv
XrO5WrIcPoe/eLgHjRjETtQZT1GNLQ6uKW9WgDbHeXDr27xrR+1xJZiBLTMzruhlnMK2yAd7A/gM
TMCqlT3fGVoLmM/2y7SW7Ws31OYLQS4Wx/7a4rlyYjaahlYyN+qTnjcobQT3c8P6CRHTfzR53d/P
1spq0Z87XD7OaL2R+ZIS/7PmmJs+0aZ3b81xD0jDPzeN5TLEXvSYyWhW0fHltv16HAbyjPs0GrSz
yatoCifTRWrBHIRNW5KO6o+JQ2QkiKdmeGDF7dBVac3+XeOhBgZGJ8RzRQzsOqEDcopDq7DpgoQu
Uq80joLFsPYx9Up+FICZnnB4aPwQwJodrOOv7UhbltZT3wKJlZEx50dTA1TfGtppy1TG28UADM3h
ENWd1l+xPhr0I9rUkr6YjbK8IOk7VOBw+XymAEF7pCBVhmYeXbtlSSni2MuXpC1vIt+Kz0QLUv9r
xoJvBEoH2I9mrLjUXcg2JEKfmbZQargu+NZ5N26jjmYxnUa2oEc4PsLdmD6lPc1RGiO7a5lhv5NE
QDMQhtSDNKbqsjANL8i5hj4RnIrFgdtbe6rIre/rrqMVAZRf2YRo4c2GDqpW5aapkO5NSatZxWc4
LMDgBrXfGjYLlNoTNSPZEbyJs1n8Ctigd+6VEYA9ocT5Vc9XICaHLYo+HSPKOtDW8x6qhfaBY27b
0tcTwqzYz56B4UBZDwjnuTdwkB77VcYbN57YqWfOJ6PrliAbhgHE3oDzDj8D6QGMDcrioEk/2cQ2
todRGSA8ZYWIKhYUmVOddOWTyBb3Rl/N6BX8yXTAjVE8VspXkSmHxaK8FrZyXYDEsnatcmJMypNh
i/Umbb1lXyi/RqKcG4vycCgSYGjkmA7Si8Ujx+xRRwyXl8K9XbGC9MoTQmE1e9iLT0Q5RrKLd0S5
SITyk7Bs/+Irh0mlvCbpxXWi/CeVcqLUypOClSalTQifCiQk47QUyxgMlD3UKeP6GCpgmCuHC/QD
vC593b1MOP8PunLCEEXvuTAmzCg4ZIZOFPslyZZt303sp9Cn36zc0cpgjjDiioyilEBjvHUcRD3l
B6u0nVMF63vn+3By2E7C66EQx77yIo0Ju6a590ODdzZdeTVlJSvC3rHp0xzF6t4sF+POeDHxeMrP
4/9w9uDxsZTbh3dvcrP6XvulqnNG7+xM8s+NW5Q7g312EKWmtytlj6FtHdnmTZH+4is/ES5telqR
S24oC8dfS8rhUFqld2/xH66l8iFJlcu+WJMM5VKKlV+JJBTWpeFiY3KUownnM+amWPmciovlKb/Y
n1rlhLKVJ8pR7qhR+aTo9mClWSZzF2gIBHu3jry927j5FV2wxaZr4iFo2Qd+6htd0uEN/nCTDuxY
dKt7EMqMNStblkVF0Mbr+aWHgssA25aOmhUCdlTJyy4KRmlrx04ZvSxl+RpKuoNEAkqDkZfyhXXK
IlZd3GKZMo6x6TOea3LdeE+wlRFmp4qQPOq5jcw3zR++09kXf0YOBmyjnGnSdp4r5VXjnspDU/nX
RuVkW5WnLe7s/WxlbxFmN0+53uBs9cGqnHBWunxexsWnbwWXnOt2722JRXG09COm/pxcIJ46+jfG
IM9w/1FnkB3Gi/nOVD68VTnyCilUGgWXXoVdr4r76lyu7HSpJWT9bV6MfdPF5CeNcr2JlfOvKeUH
+LSnpd6wlGJ9kSqT4KT8gq6RrRsHIlob+OrhCgdJLWbwGPY2cIv54juEuP9uYkXUTFFvMPbrb4ny
KdbKsdgZ3cMwGt8jrIxel7YhxauvqJL6plV+x1k5H/0lWs+NckO6VvtaK38kc+QriBARz86m2Y7K
RenFIxg45ay0xgZsAV7LTBjPqXJfFlzzGDhwZBqd9Pemcmk2Ok0pWEmvagyctnJyGsrTWWDuHJTL
s1d+z94a6kdcgPQuXuygkXKGolCNWwd6bLAo3yjuuTLosJJGWEoN5S3VW8e6Bc5CNxLG0xYDKo0H
X0vlSE2VN7VRLlXIWfVpwLjqlhMWPeNDXiytMLeaELgX1rIGb7e0G3tLCyKpA+WHZcXiPhjaEoMa
nbKdrjyzFDxFdx022o6TDoVvn1KinSzSDh3luM2U93ahVWUDyUVpOtnznOOYiqhW2TcQgMk5Kwfv
kAx1mGHqxfTDt8Playu/r9bi/JVYgPss3avFZmtUt+j2cWhjGDab+jvkiUNrlkWQaPotnU23a4Gs
lPQyJJ8RZGg+XQEQY5Xz0yQH9N2eVvPqmtUadmX66LjvET8hShFRGIcYtCG3uXPxOztW6sC8VTbo
ShmiRUnaJBFdYC6uI4mHleud2VX5j0HNf0wwf2KCMQAC/CEB4fjxntS/N8D8/U/8fb9nGAY7NByt
0OIVwh2m528bPsbof2NHZzjkBwEj/HO/90eIUIOMpcN0DyC2g3lFt/7Kfo/54M/TNzaOOps85oVk
PWzcNr8OX42oHUDoihsn4QEfR9Xcnip3wQeoeSjCikNillBCr2byosUjdg7H/4Iv4FvCyvTRdnPL
CY0aOQty0EvuaunJsdy5R0L1YBk31GSVAWhFv2artS79A1zGGHZajAD5rFdtpAWUShVWecr9VO6x
sWfZjWsmPrmBtvB2qUyqY8noJ3Szgea/xYg3VUnxN03Azi5JUdW2ND3d5zSydkGmT9GZusPmLAez
3y9ibK/QLKcPYjNvNlOXD9uX+isbGnevM/d6Q23UQwy+4igs+W4xJOT7eglOe9fskhOr2PmgN7W9
g+Wq3VSZFs28Y8Zdwuqzi8IOovDYUVY1GOW4c2SB1w05MLvVksR8Aat9tkmIbIhTN6HkCfSwSBUL
GFo4473+Ujip/zw783I7K+JoA3p0nj0BN2kJI2ss7+2MakZ76Mybriy744CgH+pZmp5LBTJ1FNLU
14p3v295YMGX3jqNyE9QmXweitr4ReZudFxAK++Y8BffYC9Ri6ggqVA40E492dUH30y/DQqk6k/p
/NkxvKkK4hQTS6tgq7xMvTfTHJh8uFnCb1O/lGn50mocGj0AZnkyja9Rrzlb3M/11s5TN3TA4VeB
S3ug2oaOjhHgZigf3XW2RRDpSXNUV+Rziy6w84yIPTP2lfxAnKdNgwQKA59+dDfVhRmrjzQMbZpC
ISMEePEHOzfyu2WRK8/VRA8TRZ1NLFPDx6/PDkexanJiqI52VrAgLwFkPE6sZ8+Udi3nBAfxNSSI
bAfoe7qburbbVVLOX0m2F1Vg6FbPzElrvsN+zAa2a7axL91sOrOIT+E7VvLcX9C4s5jij+TCy20a
55AY5NMCSv3ck4GwWgdp79LoWS06bCB/LYKuMsG6t2JkYUcN6CfachkDtNZi7nIrbzFM6m7KfC4Z
d5CJnDC/wHrr0vRP7KHJtPSNwttha+52Psi7tOVDueznr+S6SJZILqLGmJvJ95oA29bzaLh3FTav
c7QPsTo6dO8kYxHNliqAUTYBEV3ZfluN1QDGAr1HKouFU+eeGoXkKz0vIaXj6F9GYRQ7kwDL11yx
+9YLxk8oop8qBw7IkkyffcX7A4/tbnSogDtoAH4cVgoKWLOTAhuqUIGeyKdmU0Zasl0Gc71zFU9w
hVwfCjFXm362zKNkBP9Q4Fuh/2waPjmJU8PJrBJ2VgyZkXbi9KQ1Fkvg0vfgb/p8JVGzBAvMwpdh
6U4QzlFEEFTGDI9xtGxTxT4cUUiCcWqNXYIvD0DLwimhKO06UbREISAvRl73RKOEeGDffOhQ5lFZ
dITh2b1yBm5r4pXmfEyjkmXIJMCNlKa2NS5sRk9hGnMFbCzlaD6ZCuKYKpyjJliPDVM3Hb0L6LGi
aIEe65ZSavZn1tzo15ivyZFAhmR32J0XRYvk4anfyEFtJjDfhpUCSo64cjaxNenHtTU+jMkRN43d
VkdTwSdLOYggVUDKuWrAgnKS9+wqkg3tME+a2ywRZGWrfyRpsHwrdThUyEvLARC+fe8ubQlaWTEv
2a0mDJKdfM/4jN11xINcN9f+lCbD/FwVOiudpopDoRiagMk1hG0eRL4ibEa5771atZ4cFsXe1ObC
J/FJpwKhIUe88hJcD7ADtG9G1mpMVGF4LsIevoNpq29sdIwH2QojbOzyMqp7j9cy3rZGAX2lHse9
N0qtC5uoTV7NNe7PXVk8SKKBV1QEVaGlEKKmgomuCis6KcCorlCjEuBqG/RDtG7tWHT70maBxfTQ
28jcGzeDm9jfYrV0pSLqK9NKNdFlRBhEEGPCTjjaOdEIA9WNM700F/ipwqAKBUTtrVq8Dl7CvWGJ
ZrOyOjtSUzED5Aef2iiQ6uSk9luu4Koe3K8bI6qq/Qp95X2iWoywIfwehWQ1J+CszijgtDI7ch7T
1Jg3jb7Cj/OLhxWuK6sHPfA7yxBbxuic4Iri5g09xvcTjo8X+uHLMBuQ6BZFis0KuVQoREgteiza
K98CJxt7iIA8QYHM8tzUQtnrZwnO/2Fdh7uBnheGdXpxGhSh1uHae8oWs7yKSN1wSygWrlGdxco4
2Pe0h5wIJYGRrgYMYEUsexX8ljoXNrReX2ylNUCZ8SIKmJt8Xws5HFU+kFyUnm6mprSP3FDJblCQ
3bgf6HNFXKVWKCrPsdPx+J6i6R2oabPXRl2c1lG6Xw23KL7gkdNuHNndS6t0HlfPfkbpkzc5Fhzc
/5Z7xHex7j1GktvWccdnoPrDlSPK90yRgBMQRLs2p499JI1xGNbCFQglsbxKCTOQbo7tBxlX9R3C
IXsn3lxjkGX3BnSzV6Z409nnrZwE5BvHFyNNtQOkVOdcNhSUAPTe1QpejOeOCI79adYmO9C9stim
FbWYbjwWT6CSmv3Qe+1t4/VGiGhKRU0bffNIyobEGBMsCD7BA0Scg6yL9ZzY9gTFDrjy6Kuxv0Qn
b9ai3djCWb87ABoTmkgR6jL3EdSrs+uNnMCyES2ByKzrkacq+yrjLWLzTgzWTm4z4IAFPdPXs5jP
VEbaz7gaSAkrFDTsuVFVpvm7VIGiOzDne3tOuzes+uQ4fFrGaJsdj+6UDaDe5Ntk8FzxFWw6Rm7M
VXSigEGtDQ7RXUhIsHYBVPv+gmEBSNTcY0JmvBHYdTne2EUdh4kHdjbR3eKZYXT1yKIqR9XxeNU7
ioWdXrDYdQ0h23fj5qYA6l4Kq9l7s95dT4qmXTF53gPfxjmWmPGZIlweO2Y2HGKiE8TVAH7fkeoC
X28XZA89UMJYeRwi6NMbk9GM8XznNHsyLustg8VMsTmNq3rtqh3Y4/l9uMC/peKAR7lCgudF3FaB
WFp749Tr/LVit/0mmEDqLHPfyxjXBB/kezmU7S4jrFNjhNG64yJ1j5riXDvEa5cLOIA5ipZh59V1
g10ttHJbbKexbJNQs+OPqO/MDZHviVea6GDg+zoupTy7Zd0b9qle7CaT6b0eNbxBp8gAm8e8mpdw
s2EKox8iS9O/o/w6Qa8I6kNPtrcWPXMGhVZn6dFtJbR1B1OGRcxqIf8USZV/N7Ojzql+Y6weH8w5
irbuBdaONT0nV84IlOCu3LQ/iO4K7t4meucjjLlOkK76PX0t6MLEcbMbY+qNrzO62e06A//QKXEm
Ag06K6rWojIevTkasmgTjV5Sf02HEiY3Hq3CL5/cOaHW5ypyvDQ/9bPn108TLOcQ384H2t4S+BUr
5SDrhLEy0S0MdwyrKXM2jp/mLjv7GGQxoPQevNMyf2tEk3xMjL5ob5TOZ/5M/abFNBQvJrIIuibq
mTF6Mx4nL70aRq+9bhv+71qK+tXizrPypQN9CAwFj1O7GWLoDanrNHUQN3P10UW6cV2ns3cUVJlz
ByMg3riDeGIS0gQt0e8PG59iFKzuCura8actcdjuoStbC0Gm7IhYN+W9PiXJRpDvJomYTMPBLnrQ
J4lcNqz6qCawWcKYkyzhPaX5QXSFTfmwYyIfS/uq03GopI5uMXJnHOaIpbSorOR4Or3Qz3M62i/S
yOEzybTB7QFnDmisXsBd5Zd7mDDNhvRzL6/MvG+Z7/Gz6oU/P5IkjzdjFqdR2A+rfg2XzAyzXkpG
fbhnAul4YoDh2XhgUrsGTYaA7zGjj6sOJGVoV3OZZU+xV/SvPUtP9kxyvMEbFj+Wzip3nvqxozLJ
9rBk2H05mJlutGicuoCa1HErhkY/gttsHxlZ6f0GCg59TaTLj7nsqoc+9rsgbo32U5d0xmej8drP
VR1/ikpXP9smUg45Zl07kLpohqDyiUUNo35y/bJ5HJMZsnXEJN29HubEvq+S9t1daSEIGuZBkHYS
HWPwpMM8T9cYnpheROKWMVrxksHae/ayKdp7sIHQZwbDhOI/9s+kmKYPCqkx55l2fJJl3EAfj6td
1pGg2swdRU9YKx2CrW3HWgenobmJEmf6srLqA8+nIeJ09bzcta6XAwnCUvXQxT4rsXYlTj/SUrGV
TI22prv6R3ASKdUca3Z2kjE9lihsNwWzGexngotJ174UXr0+JzFxx0AYGOcCktH1Vse29QImF0WQ
EIqO1cJdb7WlJmo7NNG+N8fioVLrJHqoRdCt6K1gbOOryKRRjSpIkAbECw+YQwzq5Q2Vf6/UQtZw
urNjsbhOK+YtPMGYq6GDY2mQaVa2n+t+8spbI8+ktS3gHVjX0NZZvTPkSDxERkHmM3CYanwoWXi6
M3wi0gKqIX/hqC0vPQ1789M6adAPmHmx4e3vMIFSmLgdBtd06Q4HhTud+Ek65l51DE8pBKpYE1b+
v6U9ysRGH7xZ43kfaW6LobGcP/1u7n/3Y1j+ezTUry5sHI+U9DkeY3rEFWVG/sWF3c4TuDdjuok1
6TDowuVrmPTHzuVRY0QexW9mae3HTDnvnZ1mdzsnMZjTQYkaVoYP/ZavuvfXbJMT5PjjD/ezA56t
jfpswiRXAaHZh03982crcQJVOo2vN03T3bgNa8XokI5/KXT04yAGhG1c73Tg/EsjnpP1M5vecbph
yh2of4RW7Cq33l2+y38kyT+RJPFiWubvTvu/NBfdfJv+6/rbnH79SZf8+x/7TZfUFWqdhaLlX2TJ
3wXzDJ2KIoz6OgEfyoh+H8yzCOZh0wfiSqZB5fK4fniZ9cl//x/L+JvFs04gJAKHMwnu/BVl0vk5
/EPpsc/huYnIhBhwmn7NGbWZXeBYrrJzZw7p8m4DMqCIEmeovdUTX6toV2BbnS2HlK7wUjsqUKLT
hUim1YEOP30vNLl8dFbMVkTTGyecgRuvp7kS7re2K9wNkGnRre2h6mNKBQULu2mxHzWQ18yq1PSY
0fhH4VYQqPUlRr7d5jxmE/9WT7X/x96ZbcdtZFn0i1ArMAbw2DlnkkmKM6kXLFID5ikQGL++N2i7
S6Jdcvu9XiwvWyRyACJu3HvOPlreoCvuTXvL+qPq6c4uVajXHhsA7UV7yBMmV46xJKFhxWUThKM2
rEdfggfpyS5BChvNbjbGlx5zmtq/Y/gzV0BkcUUKa2sWjmbQnZZMme5RMHqsDqlj5+IpaXAHdPuy
7n0LNaUoSnGRcOoENyGaL1RmaiebevrkWnkp1/M0pPyoNxnz57qkv3T+7wP4/2EtYv3zfzkTuKw6
mEYfwsN+/6nfnz8fIiK+s3+bX3mifxeCBQ4Tg8UxJDGIvuMX/60E46El2oBeO6F+kvxn+vm/P38W
vzCg0RWAVwSEZAf/KDxscdj+4FRzGVvYDnIyE2UZA40/+eLIPBk6GBPq6JYh/LI0NcxbcsBm0ABM
3asm9TmV1FK8tYYM72UccMYpypCxcxKeWgUhRubSvKwIGEFZyqTW6s28WPl+Ztz73NcbyfOabCuh
g7UZp2BuSqP7lirLBMkfASqyQNHXhZ9w4CjCcyUcqloQPP1GNTYpixGKzr0ujPkAONy768pu/Jtd
7IMxiU/AcYgNYjpD0cS45cM2nk6+QlhT18dRIV3zYMPso6kLQJfq5X3xun9Yo/+ibviwNb9fj7WY
NRX/hAS78vPWDAtVjKRj1cfBUPZqjPK3aB4YspJy8jdX+jD0Wa4k7cWUxpAkMGlP/XyluePY1MYe
QUboxDdWmnKgmjhHM19I7jilOYsUI7z9x29PIi/EbMnNhL9pefs/+LxSYbVDUbY5Co6YRrPRKSa5
wpLuBpU+jfp/fjV0lhjYgWHjZvjwYUaBPyRlkdKSE4NLSKYq5h1FiTlcd3lw/+trLULQD8/Kopvk
IpKgXOZ8Hy420t2ImSQlxyYec3tto6vGVtMU1cZHd0UyRTxed6ozL4c26w+0nXS9hSnW/uP3TG3n
M9rAdMg/5YevNTdbORWdnR6bLiNNcmynFjpWGN4H3sIY/vWb/vM95L77ZS3ym/8iAls1QW5jikiP
tTnPN5WvWmSbPMF1XGcx7Y7ETTeyRPvxN9f981PiIp6FF28ytJTUKD/fRlmUDknk1emxHBpyinq+
zcHuhgEpA43EX7/HD9dCusjvDwJTsKi6pD1+uJaDaNPs4yA5ki8bbUDLEAhRCzVdRICLHn59rQ/r
7fu1XMZujsOpwaHm+fl9pYX2DGVwD83TPJgbtFrFKU/s3tz8+jp/Al/ynqjt/AC4w3K7Wj9fp/Py
VnnVmNCRBY2ILSPlTTlTaa3C3nbv4gQDFOEymsbvzHEexlURxb/VDf/Rc/3h3lneK54iFjrTW1gI
1oehc49CLVmkLMewR0BHw6ixqIeA4Yb2VJyqyHdRV9jT36zn7x/hT9pmRNUsQYsB2GYP/ejb7yOv
r+ZQcl7Gh/2kaLyc0GJPV+DT472yawBgGp1wSfdqjOQ6HLqpPw5eOX7l3NyoLzUAxxM4uvAQCYPe
OKOgUzinxs2vv6G/ep3Uv5QGcsEpi/ewgh9WSkJJwoF0auMgbOm9IQJxFHO/HFNfmHuDdyiNtJY4
Eg0ptwZquDOdNU7cNsydY5dVzkWgg/A4Jr59FRheK3cM66oUDmkg+/2vX+uf71ofQ53NuNulIkHS
/vPdJAKYMm0+0HgIBFrDLPLHDKxYq7e/vs6fn0SOknxlUtIE4QH5sMImhsWHYrTJEXXyjPSclIJV
mVXuRY5w7O7X1/q4nHN7+kKSPc7u6AKz/qiJmPzWbRH3spzDv9pEfthvRF5365xHZRdaNYEsI5NN
sxvli1GU0X6sXP03H6z5mz/859vVt21AGkuqvM3L+fCec1UbFk9GeJAMEKejzC0WU0xTdn2Munq+
IfxAvLlxSHeK5qlClhoDPCYMUzHnKYR7AUoqPAVIkz/pPrC6VdukNVpWVArMwJAJncnmC08xDajb
ObfD7/3Y5Y/+lGMpzemhrIJGeXeyGbOThWbrogdzgRGoGKxbuFXenRfX4qBxH1/GpbOAOOvEYNg4
zDdTFNo408q4vy6U0K85Dvg31NrhuTXqCY7nWIbfC99wScEuGtKGyr4ODzPelZaYiLhjxiLRDa8M
VOFiReyM84rL2vxSosl/GGy7bpCF9qAgWgwu3/NeO5iuGR/HNMbS+BzZPNkcF6ONqfrkrYtZvEkT
dL9HFRJSxqmUjYhYBfqGIQmijtGB5+wHR1AMAR9rv/qSHluZNvIFj67ybysz5X7j6Y+yXVYFXJ7u
iXHjW6R7r0TbyZeZ9tpmzILoLJefbd2Kl0Gql7NtkqEdVjLJjfugsqcz+0z+iPR6uH7/eENv0FsL
/+RNbTdxxuRB5vExNCPPPlmiiM9Y6gqmWXOc1lvO46xWmKQulJ5ZoTB+G5+RqHJHQs00BTZ5cz5g
geCzm+idozYTIr5niOM8dUrkBmhPUsXszEKtnTr8ngEN/9nTNXS1RiZvSgTIP0KEzBH9pyBHc+yy
KaSRTTRH2SuoKhafbWFbyVseFRbSwcp5TV089jSC23zRxhbgh6EN6LUmheST6JvxOpmcPt5Ix0w+
555maUKP80hwqJNv7eU+LIYqPPldivB9in2dbObRpIAxC0jeoOm4l2Sh53M0TGiKQo5e00q3/XxT
uAZwsbmgzukwUsI04w20qyIdyPxoucFw0MX1azwsmPbR5+4FMzaiC4zH6oC2b7zy3Mq492J00isR
OdM5MvL0lPn5NpiNjGatM14jtW52OpXmIRoQVjSYUQmBqNQNHsgEYqUqLwZkIgA8czK8rFacTbuc
T10jvAPcg/A+0nJbOV322nhltriO0fSFrrwuZqzCGC+YuoTjXiSp/UJuEtZYp9iLatJI+SCsCWPE
sMqZb216SLSDsSrWjirp2/OpWo9B0l8nUTmdUjPYxTHOtqGLK0a+BDjEBhgzYDyEaxW8rTzz1Zq5
Sr6Z+kWotCBUEUW/KNna56hIrtXIvAHw27jpJx/TcWBB+muSBy/0IC20tXWRY34TXeaua02gVRZA
WMxmE77sLDxY92jUkyC+BXHwBoD5tQa2uk0Bh5JE4mBKhIh5NIT/3HiERiHRrXNM3j67Go7SzwsB
YrZ9E8IkUWzeEkzhePd9H15UpYyedW3NBH5N4ynOCxZgZ6mRCmu68hLbXkTDzY2Z5C2IWUa380yA
rGwmH9Z1kco2YGDeWFH7rWEWcphMgm0A1PVhs5oiOz2ZlYMBPjQiedm5OS+oypHyrfrJmh/cmeR4
vKvMh3WPFkfjY7mmUHLizeCxXmRS5A90gKIHzBPD3VS51A9Vi3ZqBXRuOmfokbZh4cmdk6E/Qyav
QAJ6zCOBrHBRquizisSt7w7DrRymCXtQ122X/cddjVVNYmZSN8WnVssZDRwz36NjOJQCVgYPQ03U
IplP2EZWeu0aLFPCUlRiM3FCdgQZBfJQpxx9Ou6/TUGZtwtm4ew74IL1WtVWcd0K/QhAAP3LQB/Y
aWYfAnNObM2G6Dsn3bmpVaC4abMdSXzuJ9GN7c6TXfSk02i4sLtxo5NwOKVoZYgsQhjx2SYFO4Qa
Z7XwkFgnj2Wg4pPdULczvvLx7fQFN2ZK7cARITdu8knJbTEpJjeI+kSh+xeww/537Yx4iL3SRFFT
uPJpHEhp3gsXiBLaqXEVVh31GIrFQw1c6mo0GrAgaB/WdlXVMMQbybB1CA4B5lvs82anvtUWYSZk
bk+nRtu4WxxxDkKFXsUJzEvHRYrELF7uO5kHN3nYILoN7dDm8J/GpJHHOJUw5tN90Hlw4ksN7ka3
Q+wdh4sP0+gdcASivZHaoGvQlNCaK6Y7ZGxsSeYtyUMOI3c/SLrhnq8RnZBfCme1rQhAxT9GbHZ6
DBEHnfkEk41d9PDdQ3Pfuy43dlCePdoH67AILNAVOfYx8HyXQQRgUNWIMUO3MTdYfqt9LpCD53Pr
v3bQSdcsNM26b4cEYAAmDBQdDFb3cV9a+aoczHYFsDV6LMVoX3UCS5kgzmhLmkeF5b01UtjYZMQ4
BEP0+T7PCNp1gYze89aii9FwfUKCSHo6EowzfdMcxy+1PXQ32jGY0Np10LeYkkv2dNDTal1WvXvF
iX1BaUrJAcCsTjn8BZ4ukAxDWuSfas/V1z5RQge7aTFgJ+AJChxpx8FHcdSj07qocLae046AJifq
i7cFm4gyBn/BkxO5zc7zUkKK3IKZZS1hIhhdSS8JOeCjbOvPBb96q5rKyekWz8ykW4wEr6J20oFF
ACBDVC+wTt/EUNMAm92Q1I6vO5xgs1bplm882WaF9WUwAjRSTMtAJAakY5RRNJ0lVpc3aZY9OrnU
2PgBeyBs3nk/uRM8BT/Tn0zRt2+pylizm5xdg0VAZRFwEQdRgPugIRHL9gtCCR8FiVOO8ffYmBqm
/uSL8mDrkmOSNr43XlyeR7e2rpLB7R6MKOzfHJX4L1EXqHJVlkhDyW+efZdtbypyiRGvLMoDeIXp
ZFlpAJTE658mTfSlyAq0an6fwwFpUsSLJNqvqaKiK2xtEm9FQ1fDasKjW+WjzavSI6nnqTg7A65r
sPLsGZU1AT3Nuw6IOYtTDIo8hclvhoM+maqou412rIrlbGL2iw3DQvLoWt0REhPbiEl3iPsyDxb+
+2zck4YoCGFnFlazKextUetTTarql5qzESeMOEcfWvApKD/5HFrLrUxHSZxjWVtoTy01Hjxhw6LB
M/tqWLXxHfv5cBm+53yXJH6ZwH0Jph6DB5ju+Fg7V30OayehnBRLjFvyQGEM1TL0xCrOmlvPhu46
l/CQWF7DPOSmKh6FWwpUPsat7EdslbIkNkH6O2fGqq9KPa2dTGBhojhBNoyzDLRgtPI5Y69KGwcP
xtK3LLcINTQ4J686iFFslYvuwrB2nTd8A2kQ7DnLO+tGWcEuM0k3zQrvZLVkxZowbVeF24E6RmyJ
edgAZ8vtLNIRK5ZbMCY3X4lThFNQdf7emppsVRRTvnd0Mt41Hlo/q/OjM/Tf70Yt7BXJjihb+t46
JTR2ty3drFOC3f8QCNoD1tgDlq4VBolYi7dMmwFB5Q67DoXQyelgHbdB0uyKQbeXQo/pZUb8bIau
aQX3HmvvNHobPYwk4QnCCpzRO7gKuYsoSEtvm5rBM2hYi1Lw02i2gkzdtN75uoUsbVTb2qjmvekl
1YpMmc9qMoqdmmrvQtf0DkgAP6ZDe9PZxmviObsqjMmZ6oKrsmih0DYvQzFfd1l40pX3UKvwzJJL
w4goWqK65u9pEz3Ch7vF8rGvqabXZYqoWiTDnoxgJukaxbsr2vWsoiUQz3Qf8IBD866stzEwKazg
pm/82DrmSHU2gSXIhqsvxlgO5B94X4oeUZdV0NVekTjubKOh655me/4yMrD3GOfvGpmT8TEFU/Qk
auhIoJH97OSousekSjZnldh7c972TfI84gg+MI+7dNHP+3133/hNsI3b5E7aUYy1OsjW+Ga7Z8NS
/nZkIAXNaVCXXaeMA9Gpy2M+iRMmEvnstcSJJUXjoYaMB3VMGo/26JAuxwmIquO+GggjhCuROQRP
QDEmUMNQuxjaH9GMwVfhyck4GXVOQwfoceuLvdVbg32hcQu3ZDDExDfkFh406ApNBnKdpvNA48IM
9THCXRXs5JDVakVX00GrI1IkWuiOUE9n1EPAYjsJWrvTCKNbo0qblRHQNPUAD17G+AWIE8Iu6RML
+h02EQ8gV2XE4IY+BxHL5yCF34uAxnXEbd9tSDnI6TMtMw1gCuELzFxjGy48CqAV7kWKVfCqYY97
9JtwOhtoUtdWgqZBT40nrlKD2IqtDiaOHZ1kWRra1F4jq+d0gsC//5bO1nCdepN5Kcxs3pmRyk5x
NoQvEUmtLt5Pad5CCdNbz1WcRKK5F2+oZz33rON+OfIGGipzDGXvCWw/pUNueGJfm7Y6Utvzq1HI
GeQ7ckAH6xTNO2nCsBLQKT57eWFtEkX5twIn9clVM1mPfXksCZ1az2z5Rytr2UhbOzzZsUtToOWQ
j0ySHsEyqXm/Hgwb4qMqTx1Dz2Zmg251L6RTPL//FcTW1q3wOPZXMg324AhmmEFZ/doWmjPYqCy6
BL49XA/kBpBBIJZZz1x6d0HGh4mq0MUqoJvde6MYNT9jlLHyNx0cp01eJDU6gQS7phHwEot4yE4e
gS97r3Dbpwr4ztFKUn4j68h809J4+eQmuflcdIJvvQS6dAyHUR2VW2L3H6l3Z7Q7hznrIJfX06QR
1/O+nIJeeO1y7GugPIKXJ0xzT6nG2b7rIHps+iwkkyWZ6YrQvGQxQNWDYUEFaK96l4yCUBQF9z+Z
XZdBFdXkahpANrOUjqI/XwRKtchp8kDTkmlCDaInmqudzobBucwbbJYuuu0LUG9MyGaX5lU4Z6f3
+85IynkHitKg/Nf5Y67y+SbWrccxCb0bry+uw+8GrDyaIhyzbsjb4zPJO6ZshBDf8F2NV4CG+Nho
Uq4dRMpnqzTLfbW04tqOPEo5Yeud84EoIijPO4/x+lk7Sz4KSRL8wjz17iIrMEA+9OTK5BX9fFnD
HyuleC4EP5KVjjrKcvm/lebTMqE+TGvTltO55xfB91eBizLQEM8xcm/UKxojStJy38cG5bWJOJMn
cjnwoz0Lv88mHt4+5W4CJMGEEcvyK63E0t6wnfcP2hrNS4IYw1Mfh9VrGMM+WPLbocfHPMKO3TGb
JJTgFNZm9ZrJVh+DZjTAv8GqEZAZ8tC85XDAOywtj/ZXGEUZFXA4lHuCkK1Lzi3qSQNuJ1gAHdyJ
XMP5DJDTAu+vUyotXrjVZvHXgmjY18ZPuPTYtf0JlVx41LRci1XnG+3rTPZIJOjI6YafCxSaRRbf
t85t+zURixw9dP2lFH6wDhjm7dtehSeh+Xa0DnnYR57AsJsCOhZlsNeq19sIwPrZpgV+rguCLdRA
Qvx69mbzIo8s8xqKWnhyc5tXvpA54XaxHO6F7dL8YCzqb9zlLhhqWnNu7dJScB0HZbuvORMOQcdd
ImfxFom0fmUUaVRrZrE805VyCW7gdLrrBOsjCZrlPvIi4x5oevhdAm3Hy6WXe1AtyB30j+EpiSww
Hr49zQdDgqtDE8WxD1tm/833OCcjyzTH5xZx5Oex95lCtRTkilZqHW1jygp2xjptLs22L6/iQXf3
iRj8r5Cwwu9JNQan3o3zCRsOO5OTDM0OSxryyKDkDuiDJnxJPdctYVzaCgp4RYN7k9cJCTnvLeH/
Ko3+TmnE7JuW/n+m3lzHyc8ao99+4A+Nw5LtzASDCQ/zsyXc+f80Dr6D/EEC3AVY+iFG0sHiiOCA
w6wpPf5wkVr8oTHy/8UsXjDStReOqclY95/ESH6cKjBfMX141Tg8fZOh9If5XjgYUc8BzwUAI2rS
SNM5u41z7ur358We2HwCCP47uINs6MNIkzLX9QsewvEBunT94nhp+yTssn2KRnQ7P3ySf6EHWPr7
P/b/eXWW4O3zAhnRQ5L+ebYSkGYcmkPgAKpwqlf8mZwkRVxelu7Ig98k+bQPatGvW2rW3zFP/3FC
Z1t8yD9dndmD66MSZFyIDMVZ8vp+HNeHWNtqr0uaYxiFz0UT2qSIdEmAAFpV3sarXXnJvKZEXDl5
8mJ0guTBTFXyeZzL+avs2qbHqjDZpyiP2i3pW/le5wofIQdv70bCu+P4RwHCxl3oS7PGhOZwBGfm
uKQDjQVQHcSaxXVsTcQ6SrM30UbRNl8N6NJIsaXpu/K72GhWtoYh0Kee9RItVMoKpgi+ah+obevM
W3BN3W0M9mBXTU65YFJsnwC1JiA6IQjjdG0njngyoMlu/Uzed/QZaAbNDbBS6dXlFR3gaGvAgGFD
qez+wMGDOGljRrc96w6Vlxz6ZhWFHub5GK9WYY3TM77swl2B/GD9HVC4e2rST3BY5eJRzAeOjGY8
9iu+AG8JS5l2Q5x7+xErJuJ/FN4rFJzNbUA60I1ocQNt0qhBV4aWZkMzVCgOG2OwHTpbJTvataRh
JjxKt2PoR3TFmsbLUZ/F+t6EvLkttRw6XDtBjnXWKvXtmHDQYt8e6NJh/xfkS2Qh5pxQZzSNXa+m
6Hei2b4oR4UYF7G5xdE8DsjMQwfM15oaDnYlyzJWuYPvfHDdZ4laZhu7XvkJfBTwx6ixFlALEREO
xBAcpYwndiJN1U7pwf005ZaxR+8cfW1ii5wgkDGB7vsNT2qAhl4Wt7M19TZOsC494VhNN76r5WuM
cOIwU35tg7zWh4mstHmnLc2JCWrM5NEuA/rKrLRc4KmpeREa/ngK8Jg+0m/osO3FA2nK0o2/OYPo
r83KHHEtlLL4xuA4I99iRpDfuPRJVqi6caMiGXTtlScROmx49u7i96Tl7rfY5ZS+7nBHbwN/76qR
tLaw7YbgGlPITyaMF519LVMGdIztVLq3RDV8zbKetm8PAgknEZbdXpzbhpLhFRd0Xh+Csnes67al
Qpi72T7mwk77Z29MouCSVkb1Ohu27tYhkQH4js3G0F9KTBSAPjABx2tQU06y1Z3ipAAIhMKMqNwJ
naDU5rbrjTm5m/AX4PxjsNitjbBk864Qx0Qb1cVR/Xnp0eU4vkilWyRBpVpHQ0Yl3UQxWwFgDCj/
Sb1phF29thWRfeaCA1wZo6iOU9ZmtyYMAhbDmPcPXqW8pnUmr6wONtTasAKuppb3RiS3e6fCGcJY
Q1YleIzeaZ90AudlpZKeV88Afj4A4pkPSTXULwxdqpeBBny7Cty+7jfUCuSUt7SjjRWngO5NpKoT
5zRRrrgKQiQh6O/r6lUR0OluaiOfd+9LecA7j2E6MqTTqc86mhm6XxKF5se8paCqyIq3QcHvx9AC
FbphJzCnV5fjs6hPSN8EfzCSCxzuI8zoDoJ9E5XWM4lreQJ9AR7jazfpgltHzS0QUfguDUajfoOW
rDKYzugkXWG1qveNb+XXE0PSEQcrwBwsGel4Qz63de1UnMNWFIv5tXLzpoC45lXuxp/6/jgCmoBy
2uu4uCwMJUmD4RVw7xY10Qf4g5YuPif9FQmfYbcpWyU/GxAacdBykg/WOV0sZieoQgXHCkRuq7iR
w0tl4sOMPYx99KtpAYYM5I+RNVrbDDvLGzlBD/Y4eFRdQeruTWhTN2hJ7HxjwI3Enxn7jbMy/aSg
l1YFIa76NMQVJLJzbC+TFlw75SWADnVvZd245Cl27he3L70lO9SMd+gYtqlVGTNZTi7G+TytLqj2
48sOSwbCjMbPaan7Ndnt6PEubCOn3resWa64gYx7JFisArTLpg05O3mFW6GQ1tpz29ZfdRX9zhWQ
33Lal4M9sfr1XqqIPgecDCDM2Y3hQu8u7Pbpv4Xj/0shKwBT/KJu/J/89e21eP0Jm/H+I39UjpSH
RLtQf3DDmh6KyH9Xjv6/OHlZNtXfHzXgD5xEQaWJOh0Vpcf4BeHRH5Wj+JdFygvsDFQquKD+mTr2
z7IXZO7LqwDDYSGA+VAcpSbentZ2jAOnR5aAJOX40wVOe//DZ/IXFeDH+pQX6y9wfNS+SGz+FNMw
m61iAyKKuJ0d8z6rSCi1O+FfF0MPGevX11r0ZT9Wm1wrQPO7iH6R1THW/7ne47tIAbzb4TIeDa5p
l/RnzzXtkzNz7q69AkrDry+IE+ZPl4SKC7VyCfmgTSA4HfxYYo5Zy8RKKgwokyJ9L2wqfVmpDi9R
ZRQVyFsgu4/kntjWTnSQjDYuXYqJ/MuBRm3jkhLu9j22rG4EfFWzuh2CaimNp0CJtxLn6mUDgGnf
hFGwH2YCEYj6RP6xJJFOyixucqIn9tD89YOpvfIU9IqQyZB03HDSyZUTgWbb2BHasKkRxZG0BPiJ
cH1vLMOZvwX0bR7jzGGmVEdn0U0JHvKcpK06Z7+kNXZ2yGLw13FqdzdW2xXfaflW1wAw0weLYf8K
G07OeJ3mP55MMvqqEjJaRdxYMzcWfndQwAqZyJZSkb1G2+2FNHV1pWp/oDee2a+C1PsDgrBmM4Nz
ODSQ3YhxH4PQW/uGVX1p/aLAsl2MN0E1M44RzcBUWvnOTrSWekkyIMZoHGLm/81KTogY2pflNDK1
CHrqdCffk8OG9xQxqLRY58QSLtYpWb+kS+AYCc3WbRCJJb5QtMHX1G/x/5kBKIoVo3nAacYSX6ZI
9sNM6BNqlsX5YjMsnfxavKeeeU5UXaJv6i6mJRTNX+LRcDKrjbVEpjF4Y7jpJKl7Tc7xLQBdxp/4
OG4Znnvb1hTqpZBVv6tGoXESLrlsY+UVX9US1kY1/mVSaQ00AfESgmBmzubsxmQw8+HEZZifmyX8
jaOmcQNAcr5k7gk4sx3N7OiVvSAxLklDgQrJuHOWQLnQEc6hX0Lm7CnJSA6Iuq9R6+m37D2Nbn5P
pjOWkDo+gnYTh96XRufrwRzUFfCEfjXK/KtgF8WG71CbEnuXZdFD0NJEbJZIPGMJx0MnNSJsGoA/
WI7gkALFWtb6IiXfCFn4ErFHEFD6iogNQyn5e/YSxBfTMdqO0mtuwyWmz4vbTzR+SO5DtOxwa/P0
MG3rz/iMIeaQ9TfCndi5ytDnbAkC1Esvj2/WfavHLLtOlsDAbNb6Fp0mYint3zYwV7edOz8zZ7Ov
yHq1ttZE+KCxxBBCwx7uGDkSTWgSUjjBlShJLZTv+YXJb2GGmsP29KV8TzkEakXiofdb/CE6Dbbn
uSUWMXtPSKRbxwB2ypfkRH/ISVFkGrhEKsacg2Afv2ctAmxbghdHq1tiGGejwpc79W1676jUj4h+
oJry++FeTjreBmijI9rmC93ACDOc4S76nKWbBZJh6GdPPo/4rv2dJATDPTJFbwU8SmPyd23aJpQ2
zCu8XZQNc3TbZy5/066TPrryGgrnVVWocvgUkT3n26saXUh8EYABRUPbAsd7sep4UbuLckGfDIqD
3mPaDQbo6RG/0lfcznxRMXhS45Thr+3UXVZQmjd7EjqyF2Ry2V3QF8ke1D3LcFVI99AL2sQynBAj
hLaF4X/oUIy5Y0+LbZj7xUFv0E939QKxtcAjmEDED1ZhMCNAVZFMm2JB5ltxFSHDb5b/DAUqvENt
OnwB2rscCInvRLVi20eGvlwXTca0ybrcOdYtyeLJkjGti25GYNCEDMENpAcXjbOQ8GUvmeQQqbN5
z9Z2oTMxsxUIVYwJ+KsRhsHnUfFvDdSzu5m4C7Iw8X/Um74fipvRdupvjuf4l7wQ8sWzhcdfU5rO
m85Da79V01AdffzJ1zCUvNecwCsGKHlv7sJWFjfGkEnEqH7BazM8+Op8GORtW77KH21Gk5/yjFy0
jT+TMh2RTo2qkTICaGZFo4LnNt+8b3X/bR/+XfsQpBhdq//cPjwnZfkNQ+tPhSDWweWn/qgEg38R
VIFQzoVX+3MlGCz4tCVS0GeUDx7b46d+J2ZDUCM5kKwVh94ZQW0/ELMdmwDBgF44dGvsL/zmf9RD
NC2u8mPlJMi4xyZNY9viBWJ8/KCBtum9F9rBiIfRvIqbbk1Va2xGEoUPiSY+Yps5Nlm/EwhGtWNA
gWvQq7X9bRyJzFgVnJJXCE7a8ziFJLaDhErnp3HOHYehdG5nGwj+b5FvRQ8FDbM15gf3qXccfcaO
De9mCIxwl1Spu0ADDIlIkv+5Bv0RQE9J4+yw9F8uZMpJuhjdm1xp+w02SThdEJ2DQgcLlL7s08Ap
H+ws7ORlOzezWHcUFsRxOoXdfU3nCTiw1ZLe6rG8BMzlQU4NG47JFKRK2OuYUe3LkLpDDMcUYe45
A1I4Qz4oZL3L+G7vojAv6BUCVcy2NSlBD2Y80TeLgaWuFcoi70grkig5VTV3YIEAQUkdE6mTfs2b
AIaTTAAjioa6CX2CtU+t5H6Cm/XJS0mUPvBX7PMkachskAEnB13iTYFJSiKGNo3XEdXnCnN9MRwV
zJv1XAb2tkGBT0q6D/dojmXjbjFstreoc91zH5A3YupOmscO3kN1oecgfJwLX97Vi6JT6cnyoaFq
e6Eb1W6+yNCXZU+F6XM/qHhrEAIH+VtKPgOm+A0l6skLqhy9AskB6JgBE1jIIAkLhmF+wYw78tdG
VMdbmXjzbVNGDhbWkOSnQ2Z6ZByw4q0sPYBsYsDKlGVCGOiEDcHwUxgeHKSQz8DVJ2LbW2O+D0jr
cFY6IinhAEjazx8T5XflQ4TAHmVHVzpITLYDKra23VtdSl7NMY5IdkI7y4pqvqLBIUsnkwiCXBeS
UwE502pq52p2w2E7irDcegxhjkk/3/oUOkwNkVNl2eJhTVxELg6uvHXsBXqlOs0RnDASm93QtYZt
Pof9Wo2IM0tD3mejuylcC0m7OruTTx0w0M1LYEJRB69Jl4FBU4Qn8PC7Ep/ug2HE7A+mXCkus4tm
EFVFP71g82IiLpNwF/bTncjT9kjqTrydvSa9bNj2jrXrZDsdNtYJ97BeZa3ZblsDiGiBPhr9Sg43
yq+SCyOf5qNoeDQtL7cegsn6TPmDAseMIHeyR68dnVJzllIDzraxW7XJ8KaIizmpBOJDgzoSBWoh
tshC95XBXM+pOzRBNZ+PAX23MMp11BiBgSQxjbE3xt8ATT/L0WR4GBKk5DUCjbyjYI7D/h82RGFH
S9efOVcy0TdK5zudwLsz8Weuesul2QK58BOvPr1IXUqCFeCu+shhDztWXk+0i20+HB62Q0MjKoOA
ukymNc7JBhuVe9fY+W3mJ5ezGe4D2mjr1JrvE0/vK8r6E4DrW5Q9x3JGZeCLaRulfPoRHW+/dx7a
huSkaTynljHSm+uo9+tcb/twRlcYOo9EaSfk+WH4NIv8G5RqpBnl4G3SPO7uEpinfmOa60Aj7Gi0
yyKY+GenZlCZkp/JqSEwkXJYzo3o4nJbgM9YS8gC3Ft1axIfBYUOMRQSQ/rTB/b3L7MkZqrBQXvy
/pe9M1mOHMmy7K+09LqRAkAxilT3wuaBNBqNpDvpGwid7o5BMahiBr6+DxgZXRmRlZlVi96VSC7S
JXwgaWYKfffdey7H5Ym7KrDUSGQX2r2zAwhFjLt+aj1SP//YZw2YS76puSovIx6Ud5qgxVp2ERyJ
AO7rWTHo31Jbeyfqh5D4WXHs1KjCN18nr6bR9IAux19JW+AO95sOyqPOwWwE09o1ovDEVCi2Dcf6
I57IxfPhhUdgTbfIqx+x5pg7jgncjJkx+OtGeu1XzpVuY/d+1K+UaLMLqjX2jFa2eygteGMr3V0Q
rJKbGMeQKhrzxuwHBD8r3poYjzgszIdpLHal1tAal5gQdowbPgJOF/xnUWdmu0ywBqcBiVCFk16k
SHg66Gg9SottfdY+56X0dnYxR0+DHO6VQS38aLXZi29kL24cwrE1+vdmDl+92D7anYtL1OrUrsjz
cZXYw67BSlR52R7IIpvhTDsXGy19PwT1R8kee4s9pTmYrf2sIh9SeS/xgRRJ3p9dPQDptcStCxV4
4uSLJ+0Zrt+M1Yr6Nk7arWeEi0YNOs8BkbicpcoIrkEj9uBFxtvIS0eHdB/rNcdo8E1GsfWas2YB
VuPzUTOwvBMhxgzR46aSJ1I37c5FCz8j8AcrAoXQlqMQl6Kc8mBPi8p8TKr20Krs1KeRZIdlEkgO
DbVKewPfkMzXMzUJtAo4YbHC5e98OAavF5sLI7hMeK0fkwL4FmU0+j7vFufy0ONmy9yEQctz6Ano
KNPRPBOG/MVy+gOF4/chzvGNyMJwa9ftUz819NH5xQdFSIcwmF6JIVFtz/eD56mSKK1+eu5px2MT
Ye2cJCLjEuPPuYyuA/vJjfDWdXNind3UjXfQp6dV08XiDfs0BduYlWDF1S30UKLZACYLUV5jo29Y
pdWwU1qeayodygPW9gzsqqV2AKG6Ozsuo3UKJOEQdmaKTdp4YUu2PJ4H0jZeyDjgXgbTt2lwyssH
M1b9uHGm3IkRaOasu0FTDY7MN/Np7MWLwwb2OwAyIz5ERdnJnesPouFOz/C8cpxq6g88Z+1t34Yf
hdFfrYQSIHI/7a1xy+tQGsZaS+OxmJLuQY7p18URsENnrk569r4GjZM/A3E/EbJutxbfHh6TXH/j
eHUOC8YMQJxVb0Ef1UeB+XKbVX2y92izYH5Wcl2gcWOf6t8Wt/UWK4dxH/eD/MJcQ0yqb4JfXufG
mw437spNRP5eBf705A/YQGUHFlG6Cux14X/x/ZnqAzylRDqSjFYD/KMj4skeMHYBSw9Y/egsHyJe
sGwlRiF3GE84kEO+vLhuim2R/VC1/E7dsX8LWRd9FU2PWRtgfW5KGg4WD6+fKQs2Zlo7yXpWtbOE
VvNzM8/VIetAhs9NGd9TSn+geJB5GCT2tuvC6obHi4ICO0i6R0OL4DCjJ3w15vBQtdP4TFbT2Vlh
ivEunGV6V7btDy2DD07nfIcgE266OupeUvZuXolvVYX1tCEKlG4j5fGASEP8n7bAE+MuKFQMffal
FNRz4b7Td5nVzMhczXRXOHj2B1ZzIAL0BzEja92xXLGuSvXWEwdkM25FJygo8FoWp3vgg83OKRzJ
w6sxyjeNpHqOvcnd4VVOv5hDLaZ1FeTL9OlM4qlIhPW9zF3vuwNYFNcrECmcZawoLEbLueNnbocc
lhAduR4X/cnvZmOVduamFPZDxKAi+NyWLKqBT+abgpsHIDvEALa/kVUMyRkElL+TdE8/hazrauue
i9a6KPsvkGBZbw4/qsijelD586Zo1bjtAGMdI1yINA24IVtVfH+1c3IzqEsEfLDGVlW2Gp3uG1G3
dm3PC8tK0a/n5hUbNUL8WOyrQ+J8RgwUhqPAyg+itZ0VTZj9CZASRRzikiFGvqTsbPfs9gOongWN
x+yRaGkIn6YZ3muv61vNMm5vWt/BYXJhyqJqmxXRC37GYpUvrCrDERuyf2rT0BkS9Fl0qr2p3Po6
P7BZotClHilPCW1rXVEru05ZGQcLKYzkgbtycAWhN/SYA2XybQjbO6K14c4M+BEXoXoZKyjCvolj
1k2L8+AhVABrLwhfczXMW8PJV7GveCbm1bGqnFs4FM7ei8VHXnYvlZrcB1rtHtuCOcUGskV0p3QI
urQb5UxIBCBi7o167Hf1bNhf2EaxWaKk72VE112zJOJRNxnOKrNqYyUqmr4Sl74cO6uqO3xrL4VW
465quNOlNIv9kLW1sUZ/pj+HdznGqRWZtmLlQbJ88a38Tiedg4MA8aPTlBO57Phk0mzpB4B6aEgI
vE7/MCZNsptpVXmpnSzd5HQu7jStQluHmBeXbhh+k5HlBAE5XKZBFrvQdPXFC6LvZlPHm1CO3h7H
5PioJyS9sIGiihTMrcdSCPkqu5Tw/i5sn9dFpenSbGqJ/dqcLmQAToYVkKDzKgDbfQ+jKvSHOyqG
f1TMG7llvNnB/B4rb+9bTXfHmEsfQiZ3Qz4fo0D229kw9nnyywg0LljYXRi5MnXQsr7qdDEQJByP
Cc0HHZvTnVKMt71di71o+71dLWDoLDsvuwHuCebJlMGL6ycCXPT8PvrdR9TFWGQl759KPHbtPeUW
L1U/t4viH38ziMeuO5InbTrP61j4d1R2vAaqYhkeVnvJw5HyhkBdogh50ShNEj6OeswGbmdGk5kL
zw62nwxi8yIjDOFE0K+dp7GjS/ImCzMUXQ36LEeDaaiErsSgOda8g79NdfJTSCqBSWpPdDvYDTYI
cH39KnELjBpZUW3xbRQXHlmE4sZK5FzwqpoC1qQuHwc8C4feGMGFZp7cZ6kRw7a1azNZVxKDkT1Q
xId3G7iyq/TL0LH77PukP3KrlsfQT8q9E5bOjixtfB7MztvVZffMwhlqN8sbpO7sWqaGRQ1B053n
JKWtVgT1wc6nxeYYTTt3cOpn9LyFUGG/M8Nn99g7GfBj82Ge4564UBXfidHH9gMk6t4yPaKsYBz3
giDlBpd0tet9x9i1IXAYOpS4AKCk9sQaNvEIfq7Q6IoU4BHv7yYg78J8iJ0uWENuEFs7yaMHj6XL
wc+n70HR0cto++9+nPMT41J7X3Z5eaiz6YhVGjf80F/Igi4h3sTnWRx+w3KWbjR8A6pdqFY1lFty
DarnzSD565twWGOBWMeUhfJ2LYadY2cLX9oG5jxmO3YZ+ZF74xFMObBlEOU7jit3y2k+8dK75TaX
NJ0n6oFhKqDZ3qDC0M9RXMSYvfUgILlJO2y2eVTzFMLXo6iUCc+4jIKVkpmzsWnaWQHhWBts1HAI
2PrsQwBdIV6mh0Y61rpeUImybcxzK3V7airxS8/d/RRiXV9mC3uGF8zpvl0g3Ve8DecZcZLQnAQP
lefD2hgMejLxRgOJC4zz4GTX1C7sFVvC+9jzv1QBdYbcr/V6XNR1Mk+70jL38YDekbcus4ybTDuc
LPxVQUdpa9r+nCv1SIUHjEcI+GQLN3MstqgMzFm2QOYl7L4aWjy8ESlEiPlrMxk5lV0zOiSUbGxn
qSiFHKfTwCd13ZGSWZldyxnpWvWGC+D33s++p5i+Akdfx7aCpt1M9oYR8swR/UVFfblzunHLqMU7
2Zr8ddsTC+LTYF5mq2MrNg7IKDMPXacVx1pZNygIx4D2prmnclvTw4HPJJnLr9oBvb0ahiHY2bn1
zNl5s6d44jvCXiu9gckrGNYx3bhgS2hIg9rZoQhAAU+HU4JbEM9s+R26QfiYxQYvZODu9aBBKo5i
fsE4d4W+2G5GZdkb0Zi7tnEx39dAJdZclI2Nl/vTigEney6i5Gdg6Usz22cZeO/Csncqf28tAjpt
8KvuJxZrQTptS4tYUlNQL5exE4QDvpl1/0u1rCxyQ35LgO5vtYNtBwjyWtpU++ZzgFYyE+XaUNHH
CoG2lhWn1resyq51wgG9brraG9cK3tRD0ZHsMbjTY2OOSUJAm20gi041v4knueolridT6W3ZjGW9
SVqfDgbvrArrXJu0kOHK4yIm826HihOfeGRBw50tX/OEnnR3R0Kn3jsNHHasc1jF01xH14BTrcWU
Z9UuyYxEJ8Fq5EbePhuOVzS7ImiMaVcbkmggLhCkNtJpfAoL7EnpLnNCi3hPyc/IpTSL+I0xmRhC
Aodqg9GX7V3EhgTFYvX/Ra/f/6wu78XP5t+WRcAHlwvOuaT9P3/8ZfPbr+Of1YLp+8MvsN6l7fTY
/ayn28+GStffvazL7/zP/sf/8fM/48ew2bKjW/8zJb5pUv6nVPq3poy//rnftfjgL1BwFnleEPv/
TXD/nVlm/cVz0FN5GPw/EV7wf//dfmFxdyBFZTuh7fnuf8m4+2dnLEsxtHYHpye3EyTLRZH/eL/R
GNX87/9p/S+SxkHS9kl81COWfbOop73IGDRWTk4p48aMk/pj7Hr9oWjpOP3Nj+U/8GSwXPij3u+E
rotv2MK3LETo/Mbt+Jt/HSkaPDiB6GNBO9+9HxP2MeyGzyUxAaz3lPgeKOSAZWtbLQ9BS1PeBt/U
pqGcOfZljjpKHqu4sVHsJRRfrIYTlngZ2aAJUkduSFWpN4DONS3GTZZ28zlK/anjc6lozLUgIUDD
Ng98lRywE75gecHG3P/0ofZ2a51iVq4TgVUOZqB30wbnaE2X+j4YhvE6+3y9SiTT3sdkfyKvzs8N
xk15x5eJ6494hHoXIXEUUHNyU3aGOE4dma2VR0NMqQ75bxtKCng74xRww6MQD4nZ/9HHIvZ2Q+hz
szb7KE63RReP7D1lYrhviRlO7EOxdLTJuWqFZFM6cJ8ertr2WaH6cTDElK4ZCdRWibXuBrXB2xHM
KNi+pjQMcpI3aGYboj3CPVrO8jtjC6jN61hLRVho2ejGxrLcpW+QUzP6XPpa1D+IgC48z4rTfFV4
EXypFQr794LgxkPvTxUUuqWfCXyWxiMQ6+B17sbW4EQexu1AuHjfsS5s+dWqMvv6w810fwFuTiZQ
mrHAhCEsZgC72gxR1L/W+eNit93TkQYMognyfRDuFDaIbN3nHs86biTa0YpgsLR5wxC2pKIA66Ex
hdFj703jCw9S+WounDQ8JclauPRQtal0fxrlmN2CBuuADkcNHdgA+0BB9bENQvGWucg2UKSrTerX
5ZEtfntyovxgW1aOsz2Tj/3YluRjYR2QzNB7wxo8Lh/lcQynZ5+Dlhq5MGy+u9RC3wqZ+JuRCf0o
YwgQ5tAWZ9/Mm20DooLilTTnNk5ESRtWQj1lFX54sUT/rKM6u/aGp9/jnkc/F5AJT+YU8HDClGuc
ysTjT01maT7WUDv2g9bzF2Hnz5mh7DeP9vF4bTvyI8X/9cWjW2PjDMLZcZ3AkchYjUAOSrcWw0+g
5cH7jHK5DSGcTbSOx+078uI2m3EDWQmMYKmGc+8k7kNOP8dO9LNgQIuj6lDHjjxWoeXdR5VvveEj
CC6WXw5cGQeshZnMj2BtQiaMCghnV8UPYnCrgxSFAJsyjZc8yNmpxcp9VED2L12vslddJtkbr2i+
H8dOnLtqzg9dWaqLnJ38Q8WtF9FrFvuntBbzFW9Fz1Cl0T9TKFiUOgc+N5qWTLhBXdLOEGN6H0y1
eITagFFyWEAm+VjTmqSCND2VDL4PHYLIXV+L9OtILgFX+TSY90r2KblCqZ872Q1PaUpPjABtsDXG
NHxDTc2+1L3Xnlu3IvKFUJ6dTODkAF2KpLi6JvwoNY8AFmcz3phZGOwIlbq/3L7We8Bz09cxs0Ej
hcAdpCqOrRvd52YFTbtL8B98rs/K+GiHiiDy0mYUYouQTvcDk4+9ErLMD2aMvF+CUEdTbPp9jQt7
Z5Pxgv3i6e8qcrszhqV0l9O5vvZKZ3jMKsbeRAbTAZOYeIymYXoFUTl/uJHVP/IDiR4AZhCt9SeL
MP2AkbVpWyghY3YYcifbk/D39KroKvmi0jrf87LzaTFIFYW+VD+EwcZjDgrUizGCo05FggM5pW6v
xA9KG2UUh3lm49sOGOV/zbRUGTj1o463MoMUgscz3pn+PomKq0KnvNiVHb8CnMj3sxvq3Sgmo19R
CW/e44EBPEE87mKwuXucxh52ndVM4V1VWfk+zMeHXHcKDwsf1FPX0RYyIzAXMMlaLs3wtk+qYqSJ
A29JwYryvtNIRb7gqEFtPRueSyeFdqwnb2K5tjZbAyCO9qaPJBuA3Q9GAAaia7LsACRQf2dTyVIv
I3M8ynCLEc/+ljGyH/PGzffaSdNnq86aW+y3mLnRAsnaazqNcOnol6YkaD26/pKdU8a7qjpWxJY1
3PIUQgSLwMa/K4dh+gE0J5vga2j3UNJ5fDLiot9HjdVf+raGdpTb5S5Itf4yuG5zHRdeAtygeS/S
MXnkyabevAWuELSl/wv/FQ4fr23IgoXxD9SPjP6OGR2vVbuhCvCTjbC3/YXhYFSLmyhcyA4B4HEw
7k3ev4MWtfJ1bw8iX3uzQYo7cfQXipzbbUVE7Rh84iPchSRROpbeYY7UX4O49LytU8XFdxHHwb5c
OBTdQqToFzZFvlAqEnAVZOwAEkw2zzfUvDa/kLQMH0iFNPd4xdptFzQI0xXmK6qz2IU5Eq0895lk
+7L7GjjsVOxPckbzSdFoFqCGipvgbl4gG6bo8m4VdvQqr8KFwpEPrfGcEL9402nF0fOJ60CmAt3B
oa08xhuIHq0J24M9qrik7G85lnrsPAEudqqV4IH4n2gQzFRgQsiBUrZmJdUat3nwLheeiJmKd6dr
qnuDYtKnYMGOACwVd0MbOhyDk32dFuMAFXL3ywt40iDQ92Rk1v1UppswA2vSEcrAU16JVZ1Qs1LF
tnjxFxDKuCBRtK7cvfHJSQkhptAWZYOWSEkTVyDP2KUAVnFj56NNamgrVqtwAw19+GS5GBJK3eAS
XQAt7ierpTCUc5WfBBe7H4G5LFgXaFcVVkVKxT+ZL96Cf9FUN7SOR0yktQPqMQz9M6EFHfrShAwd
LRAZFl/0ty1gmTKaGkrMc3XFp6UPWWLbh1EgPswLlGb45NNEVu1/5S5gP4/0Pk+kYIT/KyiM7q1Y
8DaRVK9QfCD3ZeGjsOuGEnJgstw7hqA52J+UnKzNktOwoHO8T4qOj2RLhwxR9Y9U1bSCNinIHRv2
jlvxeJuQsHhrAk+jYMS9RtxNd8ROi3P3SfBh8eZnG/FJ9sEJ0V1gYmuG7hrkS1089BhG1DpasEA8
78pdv6CCUFqnnUGq6GBXefDwGTWHywldaCEKro0MMV0DH+ogRLLBlgCJfKvGOOnmsbVe6omvwye8
iPwUICPfrLi+9hhoJaPezavrBJeaGI6eOZUPKCAsR3NBRDuGeIysOieon9LeS5NjBeMNl2kYeyzA
2wWy1ON8fTFllb84NndAB7MCvZ6RpldHtuF5lh63ldiNjqav8LCQcxX4LCqeYMjV0THtepSicSE/
ZS32DlZ5VtpxxaTPgLkTTJT4KzRKtpOFTUHo4C7q4UqNbVCTu2VzDFxcYPCtpwsUNwsNNo3Xbayh
U5XDvI25+L/OKOwZCKt4YVnRH3YpUwTPHMxVIX3rW+o7NhpLnlMujZVi5RcexSS9DUcH+2xPP9ZG
L/wsJeb3OpmQTQDOLYQt8tneJl+oW41mM1QtJC5TGA7NNRQfMyKcicbTxJPFL7wsYtdNmBeYkruN
yLnc0K/+0DupuG9Af1kLA2xcaGCAh/ONXAhhamGFIZqxhyiQJvBmqVVFEfyJjblg9xfsaFeZTiw8
HpKFQCY+YWTBCJcM1nO9s3z20PNCLYsWftm8kMwqkGb+wjabF8rZZNgjoieGCDrc9uHCQqOsQq7V
wkcrefu9G41PvQVOm4IM/EEZ0XRCPDfvk4Wx1sfQ1uaFuwasHTar8oPd1LTzWn2i2Rxq9Qiox5dy
AbeFMpseXJNvLoPqls5twZygaljtCofHPx8N/34s9WwMH+wM4XIGzId/HEuTCOmCbF16zIqGsc4Y
fVYj8HfK1Scv0aHv8kNxlyp5ZJvyN4/hP0xs/r2ZnqysaS9pBPCuVvinfxwXGVuYWaVHa6zqjzmr
yzuV5slDIEN5++ff53+QfhAWtntrmX4D/89g7BQXljcmBf+UsjV0KOwOgKSmuPr5z/+dz4TrnzIJ
pCwckMpESS3P+1PMQpJUwwXjx0cgS9MuCeqln5pEUl6m7VXXUoZ3fZiwkZ+c4l35MRM1/tzkwSC9
ynDNTq/cfn5J/+3k/JdOTvdfOTkXi2z9Z/Hoj0ZOUKahA8kIpyZv39+VI/cv1IL/uQHX/IuHl4A3
NPlw3tPL3/O7lOQtvRUkyvkNZiBICf1X/Js8bP8o54B25vnBG5ltrvCF+2e0bG15me7IN57oyGRL
medggtuVk0U2Aq7n9G9mXPgXw3WrG2DN8rI4Llc6KExrjd8921p+aj5lrZynbW2P8gGAZSZXnlHi
5vJrUr2pOLUl7uICcL7euMGI8lFFocMSQbInnhI3Ofd00t5RvIWvrbLzO4V8cfUrEewL0hX7iJ6t
vSO5SYKyMaJN00lvP6dJfcRa6t13zSLVQ3Q31oLsYb0qhsA++2M1fAMWNfHc8unoE0nX7zNj2TyV
VXSrcGoPKwjX47GD5iTn6h1bSXBPIVjE/WwMWh7BQ7wdsJLuZDR6D0M0BhSIeWFO62pUmUd8E85B
1rbxMfBw/eUrChdFVgbHCvjgz3jEdr5OCmVd00R1e5zo9c1pHFiB0jfBdHAyUz+a2T8zs8Lh4Gbz
CreaYA8/xd4FUCntSWo2SAzENfc9VdkXY6bxckr1a4/4ccsG29vLJOhfEtW2T2HYjqyojbn+7kQg
I1GViTt2LjtLNIWswwoVzhA7SlK10sd/CdnomLih9Nn8WhTHT+PQITwMXzlp2Up0Zf4dRFR7COe0
3VlMQR+z2eV3qVk/EBx0T7Ju1YkU60xjak4Bmes3O38MGlrF2VsnjHodKWiGQPmKawJDFj+ljr+t
MBqkLJGfJ8uH4VgVHt/oGLKksaLujv5N45C5ZrIfdZQ/V6WTfJVtyvMRZU6wAh6ralsw4FkYSVxS
OQlhI4LlvPewPDrdfeeEc0OeyBRQYK0+2iUzEl8eY/JcDw0IlpyqelhU4Tj8SjGY8cgfyb/Aw2pm
YlRJeU09asIc1sl3MQnrjTtP4ELroLhXrZHd2YawmOOKAV8TSgJ7Dm6hVG4hH5CoYFb9TgES+Vg0
LPbGOZv0SpnFYVYgazcsDdnjBaV1mQs3fIwjwpgDHCaVkIFKpn7j1e4F+Fv/UfpCHs0a+9GQYfrc
9E034fVIxvM84xbcZWFbvoRVFr0aBZCSE85OnW3D0rd+4CNrulViDt2tJxobbWm2td5a5FKWgqXu
Hq2u1EDETGpY1WC9S8xCrDyndro1hLiCg8NyF6oivXOH1J7IHBcCLQCiT8LUHFnii+jN5AyNwfnO
wtikN9jhTbv2a+QeFZfBt8w3/XvK1iYTZU2GzzMuN7xfmJXxVON1yzeMc9UuSMri3Y2T8AXh97th
Uo/rqVrcW503/XRVjUW6sayq3EZBVL6SN2qsdV5nbGaY8uu31scisML3rI7067YbjFHcd1v067vE
HvE8tPUj+mOIjJHyeWaLo9cEfh0q4tQMqgAddO67BsuRSjcODsrtPLT6JCuLyluzoUBGJFnAzwHx
pKKOlqWgQEyGe2ju+9xJb3ZvuPsqNeVIzVUb0SHp1+abDSwANzWHaW+bcB5CCmwz5kuVH+NJ6Atm
qg7VuxLtDXqfww/WL7KvhK3AO2gLpySHWdQBnhixLQbGoL4h0qoaJzMTkjbDGLqoOTUPTlMbH5Xr
YxYlOt0zf4Ijy+SchAQIM4rhQrA3OyNI9DdvmIafOk+GNygQ1r1ggCq27dCAThAu6UNiVkJznw0j
ij9tVWBwGaJjYhsD3F1TPcWyURuuUgNGwTpdF7nUG6/0T46a2k1flii+tHZyNU2jYyY5NivL0fvR
LJ4Zlrt9U3PzTtlo4H2p09oH7TuVmF57b6vNcf4xi34str1FDXFFdyp+x4QSxZyY18NoWnnfnR3C
UGWL0XdQ6dfZiNmPT1zKpfkaTJJJGaMPm4H2Fdp3kz1EIxKhHWbeg0VH3Q7ccn3zity8AVWJrxyL
I9dxOR+5Sn9hz1nedBiw6LaaiGQ5obcvQ+2Vr8LANL4q0URPyRTLL9A+lk3ywMcqSFW5sGCLK7gW
xJEYHiH6tHMJY8y4eDSw0OHP5tjmabceiym9dHbYYWbzNbNoUxSXLDT5cj1pgHyjeHfV5Ibio84C
aWXVjXenLb587N32PYSfCBfA3EZPTlB7xyyVwzO7wIAi+Z7tqpiN6aE04q6A5qWrO+S46BJWSj3h
WPaPMd/4B8bO+ThMtUsntO7Ie+v5G3jbsVrPmg6Z2Mon1o0Tlhx8/1vdwvuV+IeoCE6t+Wy3s38E
lY2FZsiuOu/qlatt8RBVGP85ZGV0Azm9uF7t+3qs4mpdzo7PZ60D7Tr7KU3ZXvlMqx9Eq2xGmXYM
f5/p2niAB9FjiLAHohnhnFD86aQ06bLdX9V6hI3nmu10mtA0H2nGHvbhFIbH3uqaL3VUFVf09f7A
58mbCBVUNQYnqg15ieKe+oZpMjeEPxLcECLUj4MwC5YcmQhJ1voWuI7UPIAgdUAjgmaf/XA8NjwY
05WiH64Mgw+zSsMPqxF2Rcje1a8plrBv5hDJY1MZal+KxAiYnjlqePslPKSdHOKTIKO9S/tMXnHS
Dt+U78Nybi3vza7S4MGeSj55yXJoDmFup/t5GFw4LbVtV0/lFL6mdhlzYif0FZ91ozvAL2UAq7Jn
JH1LCe89gRpq9NWrWWhC2A6pk549Dyh1kVnavLM9/ECYD63ShO8Mo5uy6xIE8F1lz9NTDQt+DEUw
7UQClFmFnr9OyhJZHpzx42zZeOhbIMLFoWuN5NVVwk3fbY+P+Hqypelua5LEMbZOb1lj31vE6np8
8rFMze7EW9aG+udDNQALRln6G9fe8Su2//Ij60do3WRKnukSUSet02dd+tO2ELo4+roBctP1BQ2n
483L5zcOwF9Omrxnrfe25GO/iwoeJw4Dcj6N2735n72IfpBftZVvB6cw7nhx7FVQK4km3+pfYoau
QGu8lojcuDlTLIxpfqiZxx+FO8hpjRU0AWVfY2p9psSz3hazDXYOyDJcsWpwC+O3Afm/p6d/MT2R
bw8YYP7x9v1Y/vi7trDf/szvm3fnL37oMqA4EAeQF/59fKJHjBBEiCIq/CUL9zf7d0BaPv19fNyW
Di/ikgzyvw9RPkOXScmexwD1Wz7ud/PBX3fg+Bb+ofZAs+Mfh6glv2/xVSywLkLtf0cq6GyUmDkZ
jWMk5hGtMc/f4X8Q6u9SE8ZbgrAFy7SZZrwmRj+wBaDny0vq4n72InxnllXKbWSm/Q+/s4qHmYw+
Jq9somA3lDjG+VPFZqyidleUc/mtcCNxND3LfqhTAJirjP3XPU+5APBlVtBD3YQAlVIvePJrmd9q
zAAPZv9eVDW0kyaRX9qe7HglMfGv5z4vZ5RGNb43eVuMuNYMOioMEdsRRwUlqCCm2PJvyfXK79g2
acYVEHMAith1tAV7zH501GyNoBd3tD6QNgGgF80URNcwnLfA1LHR1YjBKO1BJvY6TFiFjkmU3InM
7wPi5H7KnaBkjwxbSlYfqlHqrWrN+cJsRxhP5A0J9mb4CIq+fIPfi9TXB/F0TgepHyeVxe82WjQg
Co7qgucb90C19jobMmcaDKS2xurqiqkKV0MwkjaYisEn3pDKSyAABHBuYwrgKgMY98h5TQGilij3
JQ86DDn7ARDq1dINMm8mio+xwWQuxiK4goigQLnN2ifWjs0Gh0mzdYZJHKJZWYhCkL9Pbsu9H0JG
d0YB5H40N5Y+9TPuYjoX3DBepa727wKzsBHGjImILrDop86RZIA6izRYJ3vrNfVl9AqsczyqwcWj
xOb7bpi5j7QlAflqnvBkj9F8N8dW9zVf5Pm1Gxb13RDV+gyes/8V4r4G6zi1NDs0OWXovVPmW6XD
MtuUQ4jLzaJH+j434MusQrLpTIRZvo2bUbv7OC3ooLWhDH/LshzVluo0ljtSi/haBkThDghb6S1R
Uny1KVNgY+vyrwnTr5+QybJdpxPnbNlZD04aLNcBYzgblKlSG7vt9WFgUrvRdMcyqsjGN6OM6xPP
6/DnUA9+vfNoYeJeJCDGb1mXhzfudvOwxl9ZGcwFwruS5YF+1geRwVKomeWHoyoRrrrEltvYnItN
6NI5rwurfOZ1lC9w35OrP2bNfWNNycmv7T7cWtWg75KodDaGN8UFmmlWPQdCY96kEYpNjOa/W1Xs
3EPa6ipotIW6ZDS7gj4aCj7lr2NpZRBR8t8QSXKkzkeBH/jkJlWlFbeUS4X9lHm3pgpHM78rTXMk
jmc3Rss2fUC8jfrZjG7kZMR0Qhsh3Tl4VyvIJB5uShDwI8QrdMHwaaSQp982tNa8ESifIK9GDFY+
8y++DGVzCSsa96nrXMgPU2rRSOLAUU9K3IQkzMa7/8veuXQ3imXb+q/ccfvEADZsoHE7QkiyJMuW
7XA4ssNwPMz7DZvHr78fqsyqyDyn6pzqVycrsjJs2bDZrL3WnN/sbRnvrYb5REeIEe68mbDiUGUB
w0aWIs/LU9hNOOMTpfLPE1ApeBpDr6ePTtItube16mXQn62FYDv6vY4sbaxOjXYYh/bV4rBx1TIX
Dc2EVOGOE+ZRMT68py5t90W/DremnEJlKOZrU7nmHRivZsOIKLpz5y6/Ylton/IxnYCIp8kuFF4e
ODU3Ep4iUQEol40mvhR0TYYC1KzeJ9h4jyRe852E1uwHJ2wCL0FQQbr0xk45GqXmZmhQxhsuSkch
10jSprNeYwwNd2HXVr7BZdk5nts9JLr11RvIhWFM4wUVwJl7LDKkTay79TzoX0oGcCBVkeVlxKx2
Co8s1zDsdUDKjIh9w8t0QCPx50nE5Qaa0yuWGAeyQv3d5o4FU2I+6TNo3RCQQSTaBzmm6WPflG9E
6ZBzPp+cZIZNp1fPKkGzUUxOz+wOh6s+ogg3y1xl6MBr9+DEBrAIWTKPVl2D4y2W901idMcWZgr+
BTxPnoveXChra3SMrDeW6ehbx8viI1IMgGkQxpavpIF39/RErJ1E0oQmyTpJ7jZduZZDERECT7QH
qz2AL21vzQuribTsC2dHXG5dxcnOTez62syz9ySWluTuKOnza6ZN44P02h9OFetHxkTGaSm8JtC6
0S3Q4E7Gus024Hxclt+Lo6PoR3kHBQZcR7AkXbEFwTpfGC2j9VJG+3nJAN9ottVdTC+5QvBoeCSy
2G+V6i5Fi+i4LfLiWeVheLXN0NpYK3vCRh7DuUvBpdApx00Rv+dT+B53enM1a2d8NCdvOiVtJ54k
sqHnYWSe0wvEQYik/Wlg6aSa/sXuqBghS3DyAnLne5Kf1Myc7+OkuidX82gZDBO19bx4O0ww+cca
9ULLNOiGZWBUTIgthuDOurDHaOe0TxxC6OOieWKqRmSiU2YnQd+TaZ5Z772pi79bOTBkmgVd5zvZ
8MQizDnb6fljaq+J5sT5Blj9EO4a+qNDexGLUdreFYsQjznd4602zOi4R+M3tCuctg0tey4QUW/g
CZpfwOVxeB3NDI0yZUG+oS6Q+PedcjcnJp0rRi17A/znSVPSO9rdOB9KN5nuZM8rcsoWeaflhvw9
o+8/dfL/UCczB2DE88/LZL8CF/G9T74P/a8i1b992e+VskPRSx28Jgsi0DRRav990uCITw4oCDhj
KISRo0qyEf/gRZgkXluuuZJO+SH4w99LZUv/RIksKb5tG+IXhuN/Z95g3UIjfx1qUexBpNBNamaH
vM6/hh/acCo9dPvqUJWRgR8kyQME655v072ZZfbN1VXKAHMhBX4Akw6pBD3ShHED8UqNksd9cRXp
APDvMCDQjlau1aENkBezITY213n/Oyn4Z2IDgR6A/t5ZotC3HDrFJnbxWtWehoNPkmTLWOaK6F4H
bUkgU2q5WWA0zrSJsPJstAi2bAoDxtf1Rt+mWfe2hm0ONhkMDc142HrpN0lwBPx2/nrG8JrGj9Pe
1ap9Mzi9I4oA4ZkuthYUofOqjfpTKoxvquXjpV2/5VXyUUU9TKMKL6cjzasRw18yS34fWU99oLfN
mzRSb9OvRKlxTcVFAWzSTir1rdKcu7Z17yJsiEHYcWmUFwZRXwgU8NmHycZL259LeSPO6w3fNFdc
AgviEr8Cl0F37woK1m3Y8rcU4gbSigCwxyE2LcomvJIkMOyqPMq3skFnpTLrOrpDH6xfmVoQchLm
Pxu63vBNZy5BTSJqQJW1XKOKhuCcqyDv+EjIhPbJtkCLAh80g6GBeS9qmW31hRl958FsdUBne1X5
MZdNdWhEa7IDMrjhlM4gE3Lr9zDH7tG33gvWlz4QZY4iBZ4q8xX4xFaPUxFlqonO1+teaBZnoM/o
ady4l/WiLwdEIPiqOj50tB10UNrLbZEkhGShsiLIqnZYB8YsroUib7jViVV1DVKbCRLwCRO8qoQf
Kkoz6462oLczUvrG6KCmo4NwJgDJySrq+bvM2y5JZ2TbpurMwFEgdskPm7hMLKwh51hS2PaF9fxB
Y1xsOEoChxiTbwyCufcL/4YaCaCvoZXbsXfZ9RVhTkXBVeoMpKAmNdC9Tgnrt137drvfReSimMhZ
Vj3GtF0Us2Qcj5detbrgB+nmR92IPnjIWdWSv+vGrE7XYamgfsTP3fTzZxJ8Ab266TfYEtz/ySMK
rc5oW3K5HMt54fzSU3rznHA+Co+8vRfCZng6PKd7czK+oXS4w+7AYnJ5Gm8Xo6x5KEaNv1pnxbcC
cB2HXKc55mZnY6xh0aJKBYdaesZTgXPON2ss1CPUP1/0NZiVwjSDNqv0bdEiDG90zCtjFHcnbBMT
bHYO0aIhALLpabhmDg8lwbTnZIS4SzuQVQY+CSMZsgqa2vqWA4W+dVWcB9QaeYDg7wMMW3JVMfKz
9fECPbMcdAM46mTlpDNUyHxA8FYbveB2MyHIUIHoJY1tkdGuXh/DzKWFut5breDXhyhLpH24biEs
gZLDlS9Grs1tld+k5xX9pj1O4iwgk8jbScF7f9RYzrcFsK5wHvFrYi3lXsxsY57i+bboSaEx49b1
wwgWuGUZTZkJZiI1wvd6nZjdgjCJfSC9ZTC0A4pTdi87+ZbA3QHBln0gTRYbArTYVzSe5kIQ4E1G
Aij+dijPDHGniz3ZiOTTb1qUzBuSLMtzmHF8yh2eiGHRtUNk85xWi22cZxLPd45kkZUY5s+wnhPa
jGxfTlq8lx2bg0FYUDJZey/OATprCOyheSvf6oT0nV4X27a1YV6YXUvGbAc5f01WmJJChwIIt0bL
IzZFlERBOHLrNAfCfziY15iGzn6B6ruHIWQGtaWUbzf82qHiRxjp4VO71iiZXHawwsnF3/YmWDcY
x9aHViVSgZrRXvje8aONRn3b2tbVnFe0IsBkKqNqfe0w+ZjpQO86SQcVsZW+XZu2Z6AF02VwyNey
bC7NzBNwu9a0hrJtxknkcTC4rxawlgAYM2dG9CqIIG0Yg7kWPpoGRxhZNShVw+ajcfi/C6boPPTw
MRL2EwuF0s5o2++urtlBqRmkxzTOa4F5AvVY/KiNw8WpCFrgMBwd52SiE6PldCTAyc16YGYjJ5xy
0iB5LTlNfht/HwRn1wJSw7mHZvHSpt+w9E5bAzUOOELdfLEjFEKdO9bp/Rx1wzEZdW6h0DngcMgx
rCFI9SYlSAnhSRxZks6WNPLI2bXdpFJ/zno9mOBOdsy94trwZdNoxzoc3rW+qn6gHf0Oz6dCZiWm
7MNthLZIdglm9j7b/wivqK12XpEBbdpQ0Au/JslyW6SW0rYRr6KtabjhvUf2rbbLRTl2lwzlm3NX
ehad6p7TiPY2R2Q8xHAy83MYewLwTktp6uM+aZKLraQJuAWcmvaEhItkGke+/FKK/TfGmL+qn6hr
8PyhepIORC5PUHf9asrJPc1cLJTZB85t8x4J30eS8XIRpfsytEg+7Z6nzkpY6f/6c/9qx7l9LrFy
Oo1H3WG48OfP9dCgzV5fDweiQtbNjmdQJIC3R4zbU519/OtPo9Fa/6V6s6QjDWlahqf/l2zgZYQh
kizlgA2GBbJWAgTcaEGkwQu8fdJ/DgH/wyHAFLTZfrkpqxnud5Pb6rb7f//38nP8P8efbfdz/vUQ
8PuX/XEKEJ88FoTDhJccgxvk7Q+9kWN/YgAuUI3qyEx+9avRL0c55wB9sT3TYTlbfz8ECPfTalvT
df4LDjiOF//OIYDW/F+WERZ9QMWusR41nHXx/nnRUqrz2sB1efCUht66bKkcEdC12SlGaXqaKH3V
cwTZ+ljpSTzcqaTsr3GtqWKf4bYk46tVAEMQ3vKSgP8J2YdXkVlPJNHQoqH9qDod+2/J9u81hEAx
UbxEmYGqFNVO+DKZpf0G5PSd7EWfLaN4UU1oP/cZ6dod72AEHTijSzwbm0rmANrttSpqqQ/uh3G1
ibmpazx1cAOYMPX6m5cxrcW0QlOnLElv6tYUm6rgvXnTWY6SHC04NdOlmChLDM0wnsLF5GAAS+Gj
M1u2bNqVCERVgYQ+UikzfbwIONEUb8BlpNxbLCLFbhcqW3DMtE78jftPYoLW8dWjoYgDQjns7jkS
epWfFsPdghfbB03HF3b2iC7HLFdnsyy8wvuiUqj2fpm7+puzpgvLNTPHNtdCg5H8AXEAETMaRd9i
YJzbgKuZd11C0TAmzOjBdXotOIskMRmvdWLBru4OxZZ0cO3rMAgU8n1aYDUahHFu3c7T96NN6vGc
UU2gExiMt5aAYvAD1FJkZRfx9ODWufaxxKPnT1R1xyye4h+82aZLjXZtf/v5uvWnYmW34JD4JxFQ
PTejLCgzHcmgfrcWM3tEAJzF3HoBDMhFRuXAYRKlBy67nuCjyEVfQmHcZ9l4lmYYx4cwJ7PsIDuM
GLvYdrC/i4UUVWpxuBwlOdxH9vY71Vqg56GfDbs+icy3Gt+f3Bn1TPIbSwUGdl+wFtyaVKuBkxWf
zkmz6+wEYQgQwKpY8tdWE/lzjLblranj7uyCinlJCYDagVFo5bahjDyimYhOYYPyKZ3XAxRRBGTQ
crNB0+OCZzLPcQwmkH87XdqL2ZV7TEu4vewGIg/YObnSrxijwr3fc0CG85yb4mOUYLgwYBUFgHgm
VTTpTNQEOy/V+/iS5VVgL96Q1ztZSZMCyKJnyDxctZWTBj0ikCfSV+f7ZBkzQmYzgqp7PbwvoGND
EoxGdw8X39i1eSxeSTPM9oVLqBWz4pUTM/VJ4e4zQ++eaTu92X0OUMOmkepOMxWEasaYeceikfOX
5fdFFNJi7BDF7hKXNGtklbWPahgZduiiHEdn3EJqyKvHDsTztSMMfkd6MN6txDKOQ1R6G8NsiPjE
ir1yfAgZ96zliMeFLleG68Ufc1t8npBgbuxips4PW45HIxK4jdVlPBgmsZg+Rx2Cf3s1BWbVw14B
1Lr4w9hp0GtEd4+uAIUKESanUiPWo7cjjoKxwpqjO2QzAM3NIbvSFyT/zGuSYTvSTn9T6NHuQ8OI
Vj5zir+5umtnbv1Sr4ZTKeQIgKWCfzSnQpa+zte8L43HQ6+lLQysqCqa5wareoo60YiDIVawBRk1
LZ9xDenBktIYV6Juj4teV6+Yoea92TgE9ODAqiiMopq4snJejJpjYw+ugYCYgJ4/+vyRjcLgnDpy
tJGSgPSwrq6kznVfPH5/cWeF5Lre1UUF4FkuDGkG7CYYN+WwbLKReNdNUZJNt9GbAUNw7FSGzyGx
9VtiPl8ktt3Fn3K8qWZbpCeFUnT2VQugVk9NYFNC1mS2e2rax3pU+uNcvFeL3gRtMpuoKhvnUs0D
YQcZ0IrNYMaEWowTMYROSS4RmvilfWzdDAXCepaoKBevSBfYlTpJntdtZ2myPvwgcTU7kvDWUVcu
5CPenqJasmndktnbsXC3UkOVuVEr/gQ4OG+YtpIc/CK257qEasLjMJpPyE/4IBw5E9kyayAiXfnl
ftRHstJiAnLLC2/7+QJyppoJnqOphaxyuW9dwz79p1z63zj7Dctz/2W5dFeNf8Lr/v4FvxdKnv6J
DC5CAlfTwj9UBZ7Ezm+uZS6e/Zti+x+tUvHJZrQONlzQMeHr/lEl0SoVvHMhj2N/wAaKM+AvKoJ/
qSoQ9GN/LbaJmBbAtCSKB4o52qZ/ySSYi75XpZO4R70pppMGAJCOmJk9TcLOfsDTQtGFXsrxndyO
IuZQYXYRomi/pvRMGU45nfYItBP4fFzP6tESffiaLYxETk0yTd9jkliiu6rhXeuHJTMzvwG2ssPO
hwUSNu/rbPeEnLRsdBh12MmOiCHzHwoYxVk1g/saT1XabpYcZeymp+qYt2UFIwMBIyZAK7lTtsqD
NBawkWTp2ShsCyF/YHTIf5Y6urQ8X1DBTYrgm8Z64hhBlPigCHrsxVI8AKm7B7bB8Az/XIogSDTv
VhipL1MEWhVVKtglvDm0ByMboEA7OY+1VMS3TLPomI5EE5Ku1gDA1Frzh1No2rUqU3KsHEWusyKB
8U5aNRJQfIUGiM5KWGczTrMUKNFCti9vgpj44KjE3h52gY3S7iv9wWjyhcuLrHNssE1eIfPn2Yjj
B6aspENjkz4kYx7tI1hMeHYstderqcYGVBQS8lq0IPgq49wh2BaJ6gY0DhtnnDEZ3pZW5f2YDX2q
V5Gqg8h8FT4yO4N4FmYNO21Gn4BXIkxI8nH8vJm8U4uyluEm478N0DD3YqFxYFiqHKS/TtEcojnG
s63pHcqN0O1JYCzyioAvWT832CaPhuNqAOgmLo6XYyvU2NwekGVjyXejJX1IJFmx4BQd9ZYPOMzl
QLP1hDPSiVG1zBPvzcjxGNXLsN9GqANp+ZbtQwnw3U8AO6Ivlaj+rXEi1VYHiHSkLBQxMIUpenT7
+qPjuwzgMJcGMKArqo+RVoRFc4Oszg1tMAKeWka1h5AwIOypvHyUKJtg8Xg5shNLnKycMh7l2Kpt
VZf2DuQcAtNUYNYyKg+xypQYJH9ilU1fGx0lv7oumotPNDAWre/3mJuTp5F+1mNhQs/If3B3TRxW
cdEmXNsJybXWkY3Qgm+46NIpwktEZNW2MODVGVavvo72KJlZGyZ8YT4j7CDC5Muz1RGdNpbCQBpq
4KA+EIpFwAbmAIppODmKQ9hx7qHydkVW8HiLFnYOanQo+xuHhMcNzqCKjKd65cQb4Q6a9dqWo92c
TKSRtZEoMIgaqDM9477S8U5MEOF0yzvw+rbPSw20cdZbOjN6OR8Q7HHdh2mqi42ycEyULn6NjVU2
Ou6OapbbrhuIOW9Db5cQ7nY04TcEScrQWkzeeB4A2W7Hpsj2jT0MeNqKpTlJBIpHMx2Kp9koLRp+
lbT3WFj7J83rrkvMg5lV6cfiis+GxjaQu9kPt62sbSqpwKsk7V60wcwv+TgBCCtpVyeTbTzT7GXX
cgtm2l5neRvM/7C56Pls0hFQtDIBA6ohexRW+epZJNZFZFARVCEOaR89QVeIg6IyUh90U+mniQ5J
DM2Oe2gXWdA4levVrsYXXYA/0tXs3TkVWXlmLtXeNVPzSdY0CtmeaNKiOLxzbKsgthhbP6mo3XCP
Z0IPmimdzrjLly8CVjlnKPCgccasdqpj9CRD77ygSxtO9SgBw3pRx57CaJe9MrFD7bu+TKCO4yxa
HvSMpxe4S/oIxSn/mUUM9avFsg6D5qXn0dC8CRVONO1Ccxn8vtQLnzKNk26SNReoRsne4Sx1yiCZ
6RIdyBAlCoVvseBxaHrOmErPeAzL+DoiOgrChfEJqeU5V9sUKQ8qBar3PUlmXiKuUAmO0Kmf8Lho
5Tmx4+4hpTP4Q+kMslSZLYg3TD3Q3brEuO0MtADd4g0Fh/sY9xFy94jb/5Zi9TXtQbvY2VQ+GGpI
tnMe6S+mZ+Yf3Wz1Xx3Sw54dCDZXphQRLrpG3+U1/g219MyXdKrwTY4aLLDJCWPTjRN4yZaojm7c
iXfRsaSFaMbzhAfv3jXq7jBptvHAaSvzbxrnrhjn58gopLspNCO59MpDzYDA5YyrPzzosQ2PJO2y
bWW5bJl59ICuNj0koZY8ahmUpU2myJtHsh8Bo+2Rl2GAWI56DgqvQGZ3Scw8/ByXCweXora73xiZ
JxlJHCo5myrrDh0GoI7k8Olb0Q8ZZoJ6eRFKmH4dppB7c8w1pCw23eeGUvK8xOF4xq1Bpkcu9ZT1
1sRPthxAfkbK3C0VUS7zyKjGl6h6v9RN3T2KRU6PcVet7dh1t+eNPr1DvchfRLzOkwZpAHAZReYz
j138lFV5tNv+2t9U8lF7k8zrjVwFATOyD+T0801bX01Om3yx0E8guu8rOfAmylY5/nJT5perSH9Y
5fpMF1Du16uI3+2R84ersL+9afzjm96/XaX/UTwP+xE3wDhNzR75ehSwSMM7bmW+hQ+SX8WqvrNx
FAyRRr7eajL4T338v6qPUYESLPXPRQUnxjHv3a+tRAQb65f8USFbn2z08MzqXdsCXmVQpf5uXTT0
m2zApNxlmr/ir/5RJdPR+0NrKz95Hv5VOtRCUt1Z/5aAAOHuf6mKmVJhizSkLYhAk3/pHRIs7mLu
nuSpMGvX8GlbGuNWGjhc4OV3Wt0zUjHRjxPaWYgqvFTlzCu4tXXmtjQsWJXPedXoWnHsOinaKdCW
qbXCgxuyov1BKMZSwFwXoDWxRUDZrmgVTN5Lr2dJPKF6dagOrE6TfQT2juH/WTFA/p6hn8e8gKPN
MDXHt1Z5fU4SB10zNPe1ifhec5fFOC83TX7zN4E++2G67LHfwQ4tJyO3/bTTEd44N3V/3rhD85iu
ov+2Cb2vxNYLlE68dFeCokprSMNtjAgX3wAdEKviI2a5BNPNWYDzAJeBWA0HYrUeZE0JIYPxLWYl
jAmJgpm4oAPaAQhhDHRzMKQ3N0N1czbA8K732VLkd+lqfJCrBQLfHhJbyPve9wqHRD7NF1dvU3pE
WTHf8Y/wXg1SPCSrucJbbRb9ariYbt4LtdowhpsjQ7+ZM24+DYrwlR2+2jfym5NjXE0dpbYUjNIw
emC1Du9MAiD2y2oD8TpzPvJiXFW8mP60TciGfQDulPxgPdjX9OYogTemPcRF6e4nW7aHbrWecFgq
X+LVjrKsxhResY6vpghXi+X25r1lK/OLdnO0yNXcUlnRsPVIgvcLUiNoQWOEod2IJyYZGIgZZjkE
2upTGrVw2gliMw9QdnDUzKu5RpuLGpxLTqdotd4AtV6+I/HFRsMY/3lZLTrDatapbr4da7XwQFuX
yjB2k6LNCL3xj/9FK2mp+F6zzboeGNcVENg2jSKypD2mdReN5RE95JhXW4d8h9TbodxCjEbblgbG
mHcQGRC4GPr3/+yo/5sdFfaf5Mz/z3fU16SNkjL5U9fh9y/6YzxjfzLJc+Foj+gKsdUvIi1XfJIO
ggqLDHDbXQc1f99TBVFAts30BQWXRNugsxP/Y4/luwkXVzjjG5Nd8d/pPDgGG/evnQe6GsCSGAFJ
miKItP6aDO4qWVXVHBkH151LDmKqcldNjM2Mf24QWECHKsPf5tK1UZ26UfxZRyvrW8TiQtWOQKxU
dPO8Vgk49qERBi3DoEdMdDX+wXI19c5lyOHJvWM3fwkRTLjotZp3XUD9S+DpttFnzI3lq0m49WNd
jGFOK05rf9hQwk9VTBqwNU/2OxannIYiapJ3BEX8JVNa3msvK+0nfEwwcgL61U+PpHEAX0nHJs7B
NWix6JEUnZ4QgNQMFlRYvozCipipRxrE6qE3jVWZVmlQOm1w4gt0waB207VaAx7dFfQrtujvpovR
TmQP48H+jTBFTOddr1wuC3mrB2Mao3Nao2/FrU6pzduxwsc6EmNBqYvps8u+WSR0nSIShTe2e/NL
WNkboKkysI0QDTodJj8Pxfhqmun8RCSkEd1x/kj2VV3UuMsW3SGnN7bu4J5pX3kXJdsB0O3nGN3x
Gt7HObpZFOKBuktUz4Rk0jCmMpqGgEqyX7MLPYC8vrOw3zwArF6anWZL46VtXOt9qC3iq2U+EvMe
EUW2xme+TKNYrzLTLppKwONevAzwJu/EEcZsgkR+k8PVrTe9WPP+2qo3Lp0QsCGdvqsZTNNdKALX
VvBl3dgr4cq2TQlPG7XOyaBHTFt+/WNucID2wea3kAqpDwuf2LSVSSvmzDnX5QQjGh95gWiwCF9X
4V7i2widzr2yVq83fRYDDrPtvbpVBhOy7EPv1Rg06u3WVZVae0LGC/BPfo3bAQpg77BgjfTEnYh7
+72e8qbb0+oAEwbOfTl5FBH8nhz6T2bErMhPrYVfyFkvCtNMC9dchqXjyPuXH2A0Gs7+TpRydQsV
1l/zsSD7OUJcX2zx2woCvQlDtLauw6Dlgmwfl2rXh3p019cqWTZRlfY/0hTPdEKMNCni0/pt46oB
25anad/4sOUV8Su0qfkPlrsGWSNN4c/u0qOJX8yMK9iOK91yaRwa99Ce7qYp5rYsXQ9LDAOpb2k1
vwSyGv3RTZQ83z6R/J5s2sEvFHdjbrA2G2VyfTl5r77YrHeRKtlYWqzRhE7Wtob1ztu8c30LBuJJ
6m39taGvTuqTPbWHKElR14Af8IJMNHF1lwhU1kHIYFD4jZnw/SOBxHk/F66L9yKXX8gXmrXX208J
YnCI0Bpg7oCPa/PD2rVklWmMwy9eS1QLZ8ROkAwkR+4zcMSGcKCRWBCEi+stNfX1+rhrwtOln73q
hAiuOs0MXDuQjAnaGZejOaPbis4cHnUWhEea3t4Zc3YogmGwXRe6Me+Sps4/lsVmRaZSW9cUARLY
s2zNLTCHK7L/HIOEMoJ5sslf4bzjtvfMhexaOT7p2I4eFcO8r8i76bKghTHQ/WF/x2pjEffSu4Nf
MecEJmBqgJo6s/OCoSgj4c9kdl2k7oSnFPfrKzdTxltG7sZTGs89oRFAJL/21tCFO1Lgp2fQe2IP
5b3YLYz/fV1FNqnaffc9BVzAMJGXzmsOYu/ZlRqGS7NlYZvt2PLLcAHOUrc0frsiY7a9VHbZoSps
c7G1vRIWAZdMLYc1tpHcEM/53tSpIwKjrNyVlI2QDScLGskoShFKluv1nTF6vbaoDvCONETEO2Yx
PlDiYZZXEGsCjX7xxmxC2iOI/GqaTYnYA92KKXR5Y1xpmpVPuWL6Qo2Jj2KD2NAEfLA4Ow2l4E8L
HeMxbPvkkCrX+JFD4nt1o2FydtTrZF+1MvkpIDKg3LVnJldUw9iaQr9KtM8toaKvMVnG25LBEEBp
z032swG/ncIyJzOyJAXAm0ryGQoA1UyvftIlIZdKUFadXHt0UM6mzmwRYxcCdsrS7tTDQ298enuE
p+GDuIc/aBMDMrYw4nFzSz8JF+dsR82llW3xE61GbAXgnBSdIxz8x7KfXPph2pNRwIkKdEKIgeO6
qjPOecZufl0sEd8p3dtz3p52ixJq2zVZfT8OJbNWbQgfS9Wym8xQEhKtHp6MEi97NCIk63FGRXua
MeJcZ6Vufg5rUb0SItI+56P1GNuqecLmC0aIdtUTI0rnuSSHbpODg3UfGsvVD4mT1wGEYf0tMsfp
hAz4ZYlM+QWjnrmvJrtq9/ZYoqDjvuX1QbXT+uCPB0KjwGfX5mPXEXAsizq2g1yP9TNTunwtmXv9
2sWgPSbMKdC78KAxT2uJVCLpvQ7oaKK2xDI4/hbWEzYxNGl2ukOXORSHGb8lnhDDIhZINJXvTnr/
YpaZ+zUxPb3jVQh+f0itYVPoWn2npGBVjyL9beL1fhrzYbjQ0vptbN3mvu4WgF2gbmtkimXYn5kv
p1vFwfh59jQLrmJqXMmk6z+UNbW/zV5UNe9Tj470mkCpi059S0ZBlGelXzftGxGx4TWOjXALpQC0
qmtMZ9UbDAo7ShoElMehE9pD2/Yy6EwRzeAsip95P07nBlhYENqzeU0TusxuIkM67LF89GrP5rAw
Rs4mKzGPbHQSbC4Op8R7HQpIuY0HXbtaWQUAEhpYwOVyaPnC+Ku7ovwtGXpwcVX9ORxqLDl6ixu0
UkGcsk6JhfhqmNFdOqbdWZtt6w3mKu4jJwOTboSdERDhGp/Qr4KDdStgK057cIeRPDkHZmCsGwO7
ZlVP1nmMe7DPznpCx2CVw783B1o8s3bBUWnukfWcCyLbCGUwvoQ0EjdRLotNa1YWZN4+28opz1Eo
KtaBWVtBPGH7ioQXLtvIauSmlLzCd54ldMxSZi2uAADlo8u05LmCAsOLvlQVv0/c+9ky7Wibq3v0
RfamHqLPUm+MU4kQf2sIxi3w3Jgb9EXxnBB8hBOA8mOHNjbZTiZJemt7S0MuQkcOD2/MoABH2y4T
+vyicwo/zZ3Qv5DdxAYlo+qeHUiBMMCdv+0L7yp6Xe3rcoj5V9OqT4K++VNsFxBz5rIbA4KvmX/H
Y2UcBysdrkkiUaSGTBT61D1XWTR/BtgZSmQKw2s8xG+kPIa+baOI3ESTij6rGoaf002kbzSdOEo8
bIdJj0zGB9AB5SC5D32bjnJTQFNaEH4Pst3NWWzzJGDEA39jNzsrIQHplMf4URunyPf1aLmvtccv
ruqpfQ7TytnhBA3TgNfheCAdjgSK3Ms2bkjKwdQSTx3KkklhGgNrnaPuBBvHEhud1t+J/grpgqY5
iR1fM907xRS7vsN+8yNtBvnhYhYMkkzay4GYOkDBjtMc8KuGQb6WVjU8OdwL0GAWiyAMPy9SGUCq
rIO0VIhiQADfjzVJBOGc96uUZA35c4gbSAt1WTq3Fp95v2X3fZmLGDk/8/9HvFeCzDmoVkMxRfIJ
/aZYfFsDm4IsgbKgHK1vmWHq0c6TZckDpFMLAtHOHiJesmjGpnOZYfedB3AidG3c8NpRBtybeU3s
XEnXmJkAqKntIlJqLMv7iuipelrCMa03RRTvcBjPZ7gS9gVqMt0MD80sknN7OJK8058mo0G6UybT
o2H33Us8Fkfcp6faxWBOdmfzUODa/M4AGxZN37RHQ9nhvo3cVwq1ced0Layh1rqmCsbixlZZlu1I
MIjyIxO30dgl3rLMmxGLR+pXeUm+UmHK5WkQ5JBNWZFDrqVVTwxfCY1ZlAMXRGAvzoZWK77Pauoe
QbEuD4RNtEkQIUEfvjHOeyHtpMyIR6RFEpp7SE8CT/xE2FMsnCfYvl9qkU/xifAxJzyLUn/vR6++
n2wKuYSsvOEuwyLNfU5nbKhZGjtPAFFQCSUFf2rHTZuV4WNVd81uVZm0Wu7b9fhliS2aOKJ1I+cx
MuvmkbffHaGEBbnwv5zk/xuVLwf9Px2MPWSLgP5dl2YoXAFrVQH/Ar/PKJZC2enVwcZBwKEjSSkT
UXxTuf/rD/qrnPj2QegLeCNYrkDb++cPgvNCkB5M6QPGQPudc2oBNqRsqNW4DdZ7l+Aw4pgwUY8u
bLhf/z97Z7IcN5Jl0S9CGQaHA9jGiAiOIVKkxA2MFCnM84yv7wNmdhkVjApaVm97kTLLNCWdABwO
9/fuPfefjm4DUgRoYAtUCM4x4rBQQHOpkLZQ9RX6vex7ewX2cGQrkVRuPiiMKhuL/aDSg+7+C5Px
H3EKGsXmo5tsq0JX54wsC6/Y8bUTpKt4uVflLqUyfjqJeq24suJSv8/o16QroZG/NTcxSab1C7Yr
apW1nAEy30pcXwza/fm7cVRxRn1hYH9zYDxQvBbUfP98Fr7Tt/iQOMxYFQjG3qD8YIaBfj+NVv3q
VFq4PT+eeayydlQBTwJ5gGGpNFnMYy150I3SVOvczdLKuSQYvfgJlIFpQIw38TN5+ytIVCGu/c5u
DWxg0vBGxHJKkF7BkUv43LGar2WZieqG6rV2nSpygtVGcf+hQ7mJxA7lwQKTyYyUx772qvqq4VDF
Ec10p0vFq+hvxpUbti1nC+Ian3Oz65s7mphmvZnoZ5NBCQvaEE8Th0iyBuyBU7rvmQYHPJ8DaMxn
4j61jOInAfb16xxK89ueuuzOcHyOcU1Z8/clfKyfKgG0A6JMIMjzB1PlVK0pHk36uq1RJnJa3NpI
g92Rv1jdiLzQ5LYKNDmsa83Of74XQFJZatfvD+H/9edf6M9RSwhaKv+5vHn1HGZvf/SL/vo//q5t
Sto9hjTxQuimtBGfs4T+3S/Cm6pSoiRBhJMDCiqm/f/6Ty1Km0jSbQulE8udSkHy79ImeeXsX2k/
WSqOAwEA+Z+UNo/fLNJS6B7xcxxeaPRd8/r+Yf0eiVUxmhHiFVS80Vmb4xVNzQ9348Qn4vMQNLmo
3RL2wq8MeebPIby+TRQ4zpPbAZKMJxueI3pxyS399z3/L0aZf4sPF4JKYxjMgFGs7KlWnvLhrTGX
/7ch5mXxwxCEUIss7xiinQ6WehjZ8E0v54fQqFzzU/5wlNhkyQi2Y/gRhKbpR7drxp5FPrmLrqlk
1a/ckoQ1hipOQatnaNODX0PzCJtaQuCkgap2M9TGsEYRom0JDui3IMGrB7SghrYMJ3DiVWMddDPt
zFXQDf2lQwFgw9cE+19D8CFASO8uVPVZDI7x6h54+ECdx4ouatlZSzsvnmA0QP6wa8g1Wue2hCKi
oyDXQSEsYxUrVnDFFo+ktLLlIBtW1LyqNtoFamJdkOMofyop6p1FYI4BRk1FXuCgHZeTCsyaIBhA
EX7aDujem2Q1kU5x2TokK8LZTFZBERBhbJXs6lJr74UpFHiKQavamtKt0OtLmODN9yEbMeLSrNwq
rZWsc6OKdtSoqIS1mtjUsc1pgFyuK1uN03Vk4IIe9KH7Zliwn0VsN5ckZo3rfLIBvJKtq115QIvc
PHJQlORtcPCirv/FaWg8dJPR1thX0eZYOA23Sji99bDCfsAzraJV6iTTd9nT54CSob1VFTWTpVmL
5rdSiiFYDlHSPDg6O5XNwCHk0HUqP2i+wTQ5rvLR5MSYNjOoZzTlKi04bCO1w7lFjHjKyTezUMJh
pV2CbrGWbRIp15Ev3pqahMp+bNrXaBq+i0l/c1AXEmCCJEa0SvijIQ1hp46IveDsl9qWnfzbBN3f
4ZRVTiDfODJGScFDMBGZP3BYpn4z8HtElO32KV+4h3AODSK007pI7Ta4mjsQa8OstG1b97OMRofj
n1F4caqi4mCD/p+S/4QST0ofluLorVG1q/hOEjx6JhYtd9IkA+gTjrQyarZIjGMop1F3h+WkvWuQ
hCynyqmZGHA0wPWDflITD9e7YYOwIMNh3TmOuLEdbueiNCgopFWBo4O185o9dBTtUFCnJKvRbiRi
LNQIoKs87ZsgXPUw+iGMXmKFhwWAFPOGM3e0DXxf3Wqi8l48tIwIHnXFu9Z7h+g6gm8sdPAa234o
VuJmDCp9RXycXKIQFXtglOVlqVCB1HBe7KRTyFtPMZRtXQTGLWVQ/7IX5oOXltOhsYIazorZqW4b
lFKH0Yo8vm0HND30072XBhP/AgwpwnRDaZVtPgb2bxHF9m/F97AAQAq5qFDpvgRQD9Z+S6rHAluR
CkKkIe+CLjT3w0NDtdKm4ZWyPXey7gaoAsjcXa3WRjdlp3mZ+L64V2FWrL0RZzeDmdrWJvOHepXo
f9i61z1lnhkc1LRU3Q5xj1yJdgiXBF7h409xMf3SYgSMZdqm1y1mnefKIHkka33nZtAm4z5xGgKL
6hqc61Ai8O51f7w1EIRv/KKyb9nJZM/QjvtDNY7D7UBp4nqoS0mZ0RqvkBSaF3FhZFutNLslchh5
V4yGvWqmcQIBpNj4XFWdATgDsHglutccKjpA2QJcEEcudmPmKkRBuem8XgWeJxsMUkke3JUoBV7N
Sdau1rEIxUpab5ka5oqSirkpxqLeNnkP7qguqFnwVRHrVhUlsRqUvuamQ3A/6SkaIw69/EzTC4js
cBA66FY27fltfVop+bQf47G8MCN9XCamR5B4JDMV8koaOTtsk+YmR/VIRcp3dmbt5BtaeySBq77C
bi4OEUVKjoZLG4/Vhl0CNuWxqnZKpc4+rxJgoYcgbY3Zi72prhIo3HkN92HIJwpAmEhuOZqULwik
gETnXXxIkHVtg4j0nYZV4CnkwLuGz2C5AFK6N5QR00b3bfOCOk+27fOQJEuboIvnmq3xS2Nl9Ujp
N/R+kxyAbakGY+NoKgna81/XM2mi5hXVbhx8Qicn06KmPUXDzbvXCD5FPq6Zw+9QMeKbNB8/1/uQ
UP/xlMkarypnCjLKjKSZ8dNN/WjNbuHORHcK5tBQCFCV41U2G9F0su2/iWzwfkYiyB+6MIX06WB0
IuXcA+qvqTOcBlUgcFjsIm28l3n7jEe12dmQ+uOF30bmCioCvMt+xiGOVXftNCq3LwtQ9VWkWl/J
eOiuNFpkDkDPfHBzzvd06QqNAwbsIA5Zdpfu0R8PhHLlsmlXYnbLE5zOL6wOcnIdKjh32lCrP5q6
m/CwI45ZkDPDMbmwM1oqcm5GFS3DIgHz9sOEV1WrWrxaVqncFyHnzIVC7RYAFTqZ3DKqXUvF5tXB
2rqn9o+CupLmhYeuF/P/bN8ofewZJa7tLbtRsssLJX7ondDZZlkp75xSKmsTVNbSbpps689uwWr+
2NUONnElsobbfnbmGRrWt9ypAYSAarg1qlE8a2mZrLOCCQ6gD/sXM3rJYQ05JTkGbxHf8B2JDPV9
HcvpgYnk38pA8W8aGl13GXWnpZxdV2FFMBvoCfmjYUNKcG+oe5dJn/kc19LM2eqeMtw2tA457qjd
W4c/+XtqFd5yahoA1zNI4a/nFDeD93tU+WUHYWBzE4V2TQUEFzuKu1sASOM+SnQEKeYQ/sza2j44
ecc5UG3NR6Do4hHsiHiMzGK85kslNyRRKqsxDJUVQTGBa3lefjX5SvUtRzSz1rFnriH9DXjCuOuN
yakzr23opTPUKqOo5RDccmFWuUbiLgKarIXGljMRN3QA1AsSXLN15kTNLh0bA8YcGeZDpQpeYssZ
960+JjeeTTebuC3MnO9zebK16UCFnTAwzhsXE5iha6vOvDXVa59yf9NBXqJOdIMRPd0REid/OKTN
bemaChP4FB9DdRI8/qmcruKaaEKtxDbp945BMgflTpZAbJeBEr5UMfFlLArjTi+87AZs9YRXD88d
5d1ifFDJWjEX6Dqj9YRQcmNpBC3gwYsg8VnRDbApZdMaOmlRbWpeRP1EiY6seyLGi+GmtGo+3UQU
oywnBwa6y5Ra8QqFl0cfkri+Nd+mbudUSJapCtb0bZokg6VvZfl9m9Nrallw2ANlVn2hCb25KX3c
jVULtcAPkulq7DXwqd57hKumQIyOM+W+VlWU49AR2TEL/BpJx7Kh+jWvZmOStDvVIfJkuwMBURZd
tm0o5DyoLdMpLSa21U6ovai+GK9ECgtF9L36AjRMbxHP0wZUBEbcoObFDDVT3xOMNh0qKqx72Ytx
bTdjhfxdx/JkjF1BwpgjuwGUVM5Kl2ENPahy4J3H95gThca/3FPago3seEF3CWYWnTZ/9TYygGBC
Miw96j6R2IaqMe0i25PbnobsfEU3VkCG8eSYwbVG3CCQ9zC9g/terXObrKepCJQtiW4kAAC11tFh
jISm61l5h+qWiI44VC5owd+2Ba0xyFeQ1yPlzS5RwGmCFlkL1TGJRuqSY0cEkJqzcpp+XW1su+rX
gHD0reeFHRAer6HxZVYtHgzVWrNDDPbFZGJ9CcZbvSBkKa5l+svKlF/1RKsG0dxGH/p03reVOzsA
+mVN4X2fB7TobcUnDwxeXaN0S+JHSTUjPoDgFvuHktH6Qz+HETWsS29FQiQ2H6NqVqrdED1n0hdJ
rILrzQoTd2KL/IUVO7saCu+qyAJ/GYPcW8sQ1NAiN7oWBV0UPPltZ7oxYsNpMbYD6VP2lN8VQur0
kn3QMlSCg4sgksVtRrrdD8WP5wDkMaUGVbS/CrpWd5ZWiWGV4HTdtd047fXQibcg/1pXCcC+Q8Yp
xS2w6uk28mV1VyBVX3dpa43LYajgX0zEiA0W3HGvCoIt5Odo05UxR3I1Cfd+pAHc15ryxamm9EKj
Mu9OcWI61arPfRysG5sc3viizl7Y3hNdKDP7SnPaRl1WupkfujJCQUmVrL/1pjHfNWPgkPwQ1Bu6
7LyKtEGg9pG0SZOo4imuBs98EVhD+2WHG+VGaE10yMCAbNpwrH7Kiv0VXOxAvx5tp/kZJ4G1j1Ek
PHqjpXpEabbGgzp/IaWWkmUMudkdsqy9CEJbENlTN49ZY5guovR+j1Oru+iVMf7VELFB30fj4eZt
4912VpG+pjW+n04iqajrKNd5RQprr6H/u6waKIZS4YANBo9EtiVypnY9Ko34bmRWuo49kzQ/SI3B
da6MbzGdtx96bpGA5kw2pnjAQGadRMuIGL8Fe7yJT2GQBu2ihdC3kpDBLwB7Rm5U0IguQAHwePna
7kdOFas8MCZELfbKJ5FiVYfpPZASWJdIbX1W+QWFG5sszpFDsVY8Im8xaHdCNVqowirblcnOeJs7
Mr3P4zS/bKZEp2jpsZVa++nooXEQFLhbxTVqYEEuxyWpvI0YhItFj/0Ct7b90CgASjl32ltOMQgG
lND7nhhKA+3cSm7ZKkbPg2bk36MyLn8UbTFY20IxCXejnRDG2y6fcXkgLql6Kk12oP7aZ8s6D4en
uJLAeduqj/ad3r75vd0TWmZrlzCQsguDne2vrACLN2KowxYaX0858e8LOhvJtonp9fc8qsu4K/AB
OGXRXFPT96+xVaMUEXP7kF5CeQU0mwjCCnMJ7/8rJg68OHzTIJRaOOgNr5n2QP7a21ilyCD8JHgY
qhqhyIiEVkPdc6hp1b8YSvEkorp/Qv52N7V6LTaWJNFcyXoNoDrQoKZQDFjhbXKHqLtvlgGtpW8m
qaWEJ5IaIekNoxno2oXJjHcVOxfbAKnypR5DPF3EVYtCFUCgCyzTfzFHtNAZKyHKK8XfIJqz7jnq
8D3xnfTJS8FIFr7zKAbRX6g04Lb8FH1VDmVzJ0LxSpREddPlzfjiT1636TAIgzI2xujKcaZ+28Ew
gGyIt7/0I1IZFYebYnjWI9QscR92ebWJ2pAXtiJwvs/YU42BdDYmmQuNEei3nEEeWJDjm6GY5L4s
8W83PX30AunOc+4g0kqq3nbhyUTXEjYuOVQKpxhoCzRIETMDfuizb9lU++xwlUOaps2uscf04IWK
vLVKoj9lhDxLw1/9W/OxEuVRX6yrNvT3Hg63m8wcgsvEjM07AUkn85c0+5X2Z5QhSg7iepuy3K67
wiiQnQ/qwfNaiTULDW8OaGI7doAAGlZcTFlZsXacTt1WSQvZH9TlYKlyb/j5uEV984RUznIjH0lM
z0Zwz0KquKnhdJds5aw99HP/uvbLmP0vDLUWQEFIgl3xYpQRjQO7aUuOAITtvuQg09QLrWi9C7v3
ohXVkp7JVuv3ra4MI8kWoEGIH6l8HRZhWYJ+rlAlbcpsmDiaBZVznY1Vcp+lJLal5uhsg7BG3E4J
617q9dswEKWmomJeVqVR7dWp/2WZnBrMRE+XbKo4JJXdiCUmjmDPOdpsZ3QV1I173n+Tfql8SH32
xsLDR8muMFlR7vhV6zjncxTTODP5vo5977aDfLY4ggzRdGlW6oE9FNmkFmUipbW1X8JJ+guRg5GS
pUEhJcaS6Hua2zmK9zvA6H2LG0A/1IPzuxyE8kD0Xf1d160qWJl1Xs7S1YGYIQiGUKnNfKs6Q7vW
wzJbIfqHdJpRAThfCP1cBUWJQmvREQAWYaIc1VoRO+hZRyqpS9ud3BCFYlyI8z5Nyy3n8fSrBtOn
mus8Gg0t+BSUpGYL8x+V3cEc2Cch3Rhz31yoNX/QYB3WiV8kq/MX9qkabuuOps9QSVNHvDyDJT8O
pdayoPyocWGB7d8PkeCTEXXaldpgrjw/1DFUBiU1Q6G7xaYC8uY4Ak5DijoSulm5Ge3AyxhApAug
jC0nk3dR+gM6vY7JdX7QU9enawjnqMOZOh3TP6/PDD3sHvCf3THmLuqCPySBMQvOpOKL60PefVQp
xw1CNxS3gVDlpzZkzOI/FYVSuekYGN4i8ZSIxc2OdrFORRNObHlbjBoVxGQKrtoEb+75S51nxZ+V
esY3YPDTFp57NEezBsBWEaixX7ukeVKAz7hAWfbfzw9y3PeeH6KhMzFn2Tkddv3P+zlofC7QTVZu
01C6tfqAXYRvGd51ooNxnEYsq12LITKv2CSfH/rU/KHTbupwrTSHTLQ/h3ZMOse+blRzkWRcF4aJ
XDiaC8GWooKmNnx2YGPQeOvzw5569Q1yDaTgycIcmLX4H9osRg0O1QoZlmiYZK+l3XdMnESySGYt
uvX/ZsLSy6bDjsqf3IKjG+xXpaqhUma4ujHvS73ccvgf1iWW7y9WGW2+YccTBvGALjiBs9B8QpMR
VPXXs5RT2/+q3+fm6LWvuEvhJYKsIy1AqltpT+pzQI4Y0CFK8efv7qlJCxJQwnkxYM4e9+5jy2im
3lcr17B8cSBHnmq+zxJ7fpRTqwCPcG5fqTQ+j6MvxeCJVqQsPe+rQAd0eykccqI1AdTy/FCnLkig
jQBYQVUel8if0yUe5uDipGdB7ctkpff5k7Tzp//bGEeLWmiiU+VDTVCP3pBQUW2FnR7OD3FycjD/
NB4O08P6NDmcyO4rvancgr3rld+q+l7HF0IeRR/+CBRWmDLrZvA+bZbC8FUivoiiOP9LfH714OUh
7bB5/xxKF0crGupPsBe5AyYB8wGZL42cUZnlZaJE5S4unGx1frzPz47xwDM77KNmbcvRu1dyrLLH
wijdNBvYoMjxALzd+mIr8XkuGvTQgaRT2tWNd2/Rx/XE8bUG3XFSutiL22Vd5CHK8u7SiuhlnL+c
EyNxEbZpCamZhrCOpolThyEhS2g4WdoQPyr1BUke90UVPZwf58Rj0iwEQRrPipXrPX3lwwqJojE2
nMrK3SlU11XyrNjJMkJgG0IJOz+S/vkbC9/2w1BH2xVqVNJLJUO1nUPhPhMYRHrrr9QGcrE6GEuo
YtMtuTNetSpFY69UrJk/iUxU1lBom3VE93er15TR0sqgAJ6KKd6bdlTsG4OAGL8Ppisv4RwoSuh0
rU+3iHNVs050YkTITkqG6z5vqWCPrUyWlNkA4spw+uJCMd0er818wenrYSZDQY6Y7c9lBLiBYjh4
bVxyM5tHB6T0tdbZ30Ypw+d0ajFiJwn908T7WQ2xv0EATM1kkDtJtnSI3niplch+9PZ76nEwamSw
zPL0W9GToOlRWErzuFzXMbBafEUWcK3I0Bd+j/Wm6sBeKBEeg0HkwqW3jVGisWE3D3G0ooRnXcYC
LUMUOx7g/TxYOX6/nCx/IG8iTxzulq5wbpxq9cXy+uyLj9aJuQYJTEPBwTeLLf+8Sfgw1zwcJOw+
Ru5LBPaj03AE8dQH148qvAdk23ylKPy84cEAZWGeRk+Jxup4w1PmEGz7Is1dx25w6IR5ui5JG7mU
RtFsPdtvLgNKr/cidPy/kFH/UWd34vVlN6fOVkIb1+Dx61v5Y6cErcxcylzjjw7//1NJv+feJBL2
7fx7deIiEXiwGlHr4J/jrSN9Uc6bY5u5aVfRFek0mnh0gqDjRlm1k3Uc2suaBjuKVIwv/3yZYl9l
ICZ7N7DrR1PdIjCCslOWubWXh9uyz+79wUfqEY3VF9+Tz3dUzIsU2sj5eGUeyyapAWFuQDzuQvV+
HMesX+n2AKklMYx/PE3ZbiCYQhjF6UM9NsEXdZ6Dum0TdAUteZGSwqsR3WAuhJcXy9fzT+/UZRlc
mK6hrETOcfTZ8sOkyAhg5LLM1HAVUoBzeoj0dOrEIHr1/GCfX0Bsomxt2BpgPdVna+zHF7BEGxLI
NuXKFHEfGMpjOdmv0WDc+738Yg8yv8t/7k8ZimOp5NJY849llnCIwjFTEGIYRbI2qJU6OX5WK+nw
z2XdnjLlV7vR0yPiSkDGNr90x58XvO52Po9Yat0+dornfNTujYpMljaQCclI+uX5u3nq0bHxnoEJ
Dp/O43fcrDl3NJ4Vu0rb7iHyu0LEQJ3UL4b5vLEhQZpcCZhoIIj144JCZ6tDGPKjXbhauGatTOyK
gS/i+Yv5vIowigZ8jZUZks0xNXbADwU5SYvdyqCiRaVnmUTtbyuTh6hsaKgTf0bG1xer5Iy++DRL
5oUDJ7RJwNzxqwZHp3E49sWuY5KL1icOZTjIsNMVOYrK+h16Xo8AF/AQCnJorMkpaHthzW2G0t8l
9JEhU1qIhc3ym9PGMU6Ygs3BvC0oc928QBYnvzt6L12/qf/GAv7HNf7kg5k5dQaLvCOOHwyShCCh
s0Esb09LNhqdaK8M1DnPP5iTs2ymcjgaxrZPW85UYOLICH1ws8ZKFnneuWqs3dtW89Wu5dSjIIsE
VaWUMPiOVnITnDtM/YyFaCgMhCxesBukOmzOX82pFQihN2U48CIUO+Z7+mELMEWqPuCOjREPQc7t
LD5TgwkIt66Tly4S/3wXzZnRBEvIg7ZVWCp/Dmc3oewQXMWcHb3X+d5VoTyklfd4/qpOvTwzJJyM
d+o3+vE0Hmogc1POy5OEePHjUaPF5pmvNFvyTeWb9q8+KaId1cL6i0/VqTXvHftC4ejEoYfSqQoK
qItd39dvmkx5niJ/U0QPRTTd8SJ+MdqpCc+xh5wawcnyU5Es4RotKKIxOdQFAFppWodej5TV+ZsJ
7/rzosBNJE9HaFBtjg/8TqsPLR7OeDa/qQ9hoOYb6HXo0SKjS+jNWf33CHU6MeRNd1Piibk2E8vY
BjaazmkscHP58Jy0kpzdpAciHLRt9NXpdsaGf1q5bOAO85tpmOx//pxZlVerJsZzvjaDoE3QlM9a
AxoaVVm9Cy37EZoesavgyi6TzAgf4r6rd2TWPgUoOiZZNPuixzROFclZyFEpFk7AdZy/kSfuIz1t
tqDAJiguHn8QE4vfIRzYbvfZ9FpMWrNRC8SUXoJ+ZXw+P9aJ26G9a4zNuVDLrvvP26Fro6pCemFr
72mvKgWHFfzh53okS9oiBBHilmy+2GGceOk0jY4dOxq+WJ+22F2VjEPl51xeZP4IQl9Z6qh26GNU
08LQx/J7WfXlCjVG5/7za9U0qphUpNggHq+UAkBOCHab/Hb0oaXsybGskgPVeLgNsf8w2qb/z/dt
DDiXAeAmOCxlR3dX0m2sBfE9iurjE4dHvsgyozn0pZO6qeQgff4KT3xzGI89FE4Z6rXvb+iHVTr1
KhGEUEpcPJB0LkTVr9QyL1cGitj/ZijSDgxbsmF8J75+/CAUZOQ1+MZzVyOj6NZMStK4rUZehK2m
fbF8nZqjBi/U7EOYK/1Hc7RDEkd0dslZJW3v2yDHH17eg/CpFqFfHoizav7x4YgFDNOFbmo67ZPj
F1Ab6LXp9ZS5ZB+j8bP6b1VbrQrqAF8MdGJhpqSumoZB5Rkbx/w8PzyvYupRgHkcARPffPSHYWtP
5f0XU8LgZxxt6P8YY15tPoxBJjTEe8EYCPq1GU5f7Gsclt/0VpJjkvQ1d1HtF2ZfFTChI/973lcW
YiF6tfDEY4p/LWrIDNhELsDawUvQ1r09Jm5oNNC0hQgOugMBNhs776dXkASU1oizON2OS2Sw3i6A
4+JO6jDcmlqFVhd6pvZtclLEVplWA6VI62qrkjXgcIAa/JsoUdkd5jDWszisboLBCrawwMZdYiLR
7AwMXR3OYteOnfswj+sldzjepNSKCPJFKOgiToSd1U/F2msDE7EwSPtcGCThhFG7OX97T81NQT6E
xjwhKOJ4/ZRlDX1QMjeRCT+XQ/OMBfFGGMrGSCHbKH3+X7x27LnZ7FG+pyF09C6YAWlgOOIztymD
ueZ03evxrm+yLzavn0t+glopjS1qmZTpnKNhiFkI4Aw48FnV+FAUYYVm0P5Vxt9pQl8hSFm2pv7k
V9kXR6ZjujMe0nlcqrTcUQ7Xxxsyp0jLlCxfaiL5OP0IgLSSXi6UA0YXNVmjmeGMU5qpt27irlwl
GSJBUjhZyEu925mo/M2oV3aG2iobrRHZ0kMYyoQrtvQ76WA70YupdRzUCQhaxtbkr5wG51zYWTjo
Ne9OjwUYpMmE0NpEIl40sI7XEb/PqkmKNzwf2i24ZwJah77c4Ojiv6eTuQzqJlpbiqU/lIb51aM4
tabjGSSbkDYcD2R+VB/e31CtzTSLQeWqzfNIp3Ax9iqRATjbz8/kU2vRh3GON0Zd0UFBdvrMhV+l
LjPqDcs0CNbnBzm1tYGfxWlVp9+Gk/bPi1FLvchLUWUuTSfwVuRUcBh/zGPA/kE9fmE6OzkY9UrO
LMAWP217ZcVilJFGhf4OigI0m20nig0KULTUTfjF7Tu1EEjK/nwtsOx92vwm42jICBUV7uDqoNcW
kaHe+Jgn1VsTolkI5Bd3Ujs1L+aeNwdYJATWcZ9mqouE+8s+LRqSAJeXru1h/fc7nVr8KjeUwBVF
2SxhjBjfQtULXEhj9dbPQ8iwvk2+BSyC7xiaeaNqzxfTF/fj5K/HgkgZifrtp+gncrdrJQ7Y5vRl
8Ya/FaRMd5cY6EjOz6iT45DUNcd7ytky9+eMqjtlDAr0eC4n0YJqTvOcjUq/ytvqiw/pqW0rxSlE
G+r8h3X0Hhq9g4MD7aXb4BkJaiSufXaocnNP6s0N8Mx7ouu+KLOcmsAfhjzesEaTgPFjqqmr9CT7
tfmbIxLE7XJf5d0XZ45P6UPzysuJlCYZ20fOwkfnoqa3Sa4erJRlRh+fwMv87kMHIHei2UvKt/5S
KYhFTFmR12E5ew0UbVZmQkgiyax+BPIYPHqlXbutjmMBVxs+o6Cp7oC+5ys7Ix0dHqO9GazefrBN
Vk349zWCKaUeVhNsBXfK9d9qTzSNlZN5V6hPUd5eI8Up1g1bvtDu+kU6GiEAqFG/KxBd87HXzS9m
06m32JmdupQ4mLfHDdgkKWpQ7QU7v2LaTc1EvqYqHs3CvKBmCpN/7L8Y8NQjnp1ZCGUsiq3Ht72I
NH8s2Qy5YemAki5a4kWhvJOR5nsJIdKzJv38C/OZY0gWjM7VSZ3XhWPm0ZP2lTGhS5qkrkwnZxn0
rbwTASmdmUGiTpAnyUOhE/YBzG32XdF5sAPiuNOWoA5c785W6UkB+OI2nLjvbDZmC7SDMfDTkdeR
ow1B20jc2PHh2lSjvMoCto1jlNePcI+IUiLb6YsbcaKIiSqBqs+8ahMlof+5dMDCm0i65Y2uJw8p
q+GLDYJUY1N72OsdS5J9KU2Uk2aydvwqIE+8jnFeiL+jnf9jPdI4sYbNvnDkGHAtaLQd/SIq0gig
M2GKbzki+Ond1xAayXRAW52ZF9wZa9dEqJGxWNUzE0hZawqB3gv4tN1tb/TqZhw99Ucg2HjrzaT+
YFucbUmNendMAdMHTrZFkv8GgHXBkt2thYyCNVphsQIp2biBLK31ELTWyvYvdPiAd7GRDTe8tpjQ
iBKcHgO7dfaJav1U2zH+4mB+6vrpgOFBt+YO/XHhiHJblNSNwfUn8XAXIEtzBzmEjyH0hs35h35q
KITXaA1wo/PZONqA0HQqy3T+LDnwfFdFac9uPiIB90Ry+o/nx3p/bkdHL44Fsz6MIiYd1KPjf6bI
pIUFwuEADo29aGgYY/aC17MlQahbZVaiXWi56t02g95f67riH/RGcaC2JAV4JLK83n+h/8c3fIFv
gIYjefn/jRL4FB94U735efaR3/D3//I3v4FKyr+EpFnEToYDEZXUf/MbqCX9y4QyO8NvZtXOxwBx
+a/3dXZmHlh/xwr+L8BBg//tsP7O5RMWYbC1/yAVB0EeS9WHmUYTl1ombU+ag2BZPgWIx3XLIbd1
wlsUAkZEwK6mDuS/+LG8wS4hxEHIkkWNxNas2ngek9Zc9KS+LmOvy/vhuuRsW0A0mzeDTRg3xrfA
TpRkeDTtTonVpYwrbIskHbj+lKn9bYPJ5xXLSE/lAEManeqKoG51oYNz8gmxCHTofNgbBGljQRnt
0yjTfht+RuCJU5f2izLTMweJEdyKUb/muQ+ylj7JN5OeOEEx+bQynES9ieMQPGJmyLZdlORjESWQ
FGTsTYZQ2LwqL/YA+DE1oROSGQcSMujCXYjE/HLAjbKzOrN96iOyi4VaOBL+mQy+VZYdByvo1+Nt
h6zcgUPep9XaKLhispqnxl7XZVKsUN4HFyVZZ34Xggmk1foS9l3zve5kEF2b0BBxfRTWTYiJr4e7
PQThMsG2v8TeHQQLYBQOzEqVTcOdZeK1XPEkxh/emGcLRXVwG4yD59/RPqTwUecEFfGBCbodSLvg
gsLQ8INajUZyiBjUd2P92pGs6ktVi1JtQ6kNqw4SyeJxrAaO534ZcXQlx2ev1BnmBMW0EdWn3mTf
2HGPc51EDqZEhEcsgoUQ1NMqMmuIWDKxxp+EH5TylivR1aUed+mwcpJgWIVqaxC2AtkoVaLgt1Ul
fJzxLbl1KNoNFDy5MucItzYPrEM5icHHPBv7K31s8gORItV+zAUotLTUDorp9OusS+XeE9aozDYj
+doXjrYaeGmuqaBOZH+MeRogzMdop6GwV4pL4SNwv1KzVrWKPefz3iZeGwKnba+5EYIY8C7IilsR
zxzVKQs1sVANgJQYY6ADVos2reHueTR6YMVmnN7iRaEJQ6xSoOfGoa1xECC+76y7tMhQ/lvK4BQP
SdVZFBNyElwxSlEoq9QgT5fGMMx+F92v830EP8O5lIUfvKalNQIySCws5wlmCeWyM0O//h/uzqw5
bWWJ41/Fdd5RoQUtD/dU3UC8xtzYcZbzRCmggEBIWBIg+PTnN1psJBNnGaqiunoz4Nao1TO9/1sA
AEXDhME67zZhOrsxR+HW1XAFqRpKtjQqgSO2u8oYR9Sj60YjjNFhygWOGl2rlL50DXrvUnWXqv0t
bajpZTdeWufh1Pffkx1Q9/3ZI5PU30TxiN71aGRbI7CEd346oChnvWWgxmqzebff++vHgdYx9H40
420OcPM3ar8bdoi2zzuhM31PR7rPhDk6+K1bGjO3wyDp0XWxsNaD2ZRYExJn0IY3t5i0HnQsf9iJ
ooDOldEomL0Rqel4sAzs7RfNTyJasEnwXhvd5H6fgbl756w7487eCdlTHTOiX4K5TL1hGunJ/pwQ
1jI9n6530ZdsFAH/bO/WtNUDwhFdGKNVHF7woQCfxUJJLzmJdh+MRyeLrjCmQPv1Gd9oXoCXqW2v
rPkIlGLmiH+jWvZjj+aod7rfS/YfNgt6MC+3C3rKruLRLhvYq456oydJl5qsuXZnhFv2I0h0c3BB
8jjompgTTfvzi32m29dzyoIXNBl2gGPKVAFoy5SV/YA7LS5smxlYgTodgUjMu4qANAAWk4nH+h31
IN3Nub5mkLnpzLUbkFqdt7o9B2u646/oHDZmmfqw2hv+oKsHGu95YUznX+NHa+4yd7LzUY+DzT9J
N9vEb+PIMNhrRkZL03yvv12qZie9ioFu6Af6ml4qc5ZM4xt+AJinipsGtJ1mruhcooh4ObtmLEOP
VpMd4zZXNMXvAmMzyNYUp2mJyUShnsnQpDch8R8K52OBx50ut3SiRmArGrdRSHsZzR2j4EHdTfVP
m+3+s4EI04ybUAP3xgEx9dK0t9ad2fPBl05HOyAdZ49XZI/ALA33TGYKOj1qf6Nsm92Ho8QYBktt
vQHY1lqqt0Ds0mSd7s35hf0Y6V8e0+wLgXB6wBgNDWC16o8ChhttuimTWzbzbH27XC3V4X6nJvfL
ObPW+hH6a3qnZptRrInmst0ecAuAXSxG2Rj0No2uHwE5t4cAYquFMfl/Y0+VDyLMnbc5iv/d2ot3
915Cs/TT1D3x7XuiPulD9Hs/qgyX44TKMc0/sNBICAr3q2ah5YvKV/wajcBNfWBtmAGt2QrjpqiC
AGSquP46CyLOw+Lrjq0pdBPotNuIAk8uMiXc8IBJ32PD609Y8PP137z2BF7+aq4mPAHJSSw7KS4Y
hsIYRsuh4qRgAqZqjQs9hWokB3j/8vvihi3iAjFuA7dNigu6ir1OVpIcaPGuMf8PueA4io7Dzwgf
st7igkt/RBbGEelJsSenftMBwTX9GR40KDzvB0ZjUH5GITr1rPmFvDd40FUJVOuAqedXccMWSQLR
kG7xYopYytMJ8wunAvNHcdHEc5ZPSdz2kAu2o3Ab2huBeC+uPyQJ7oRIwIBpj7E/TuuuKK1fPycL
DRrPsgAXSKz1QJ/vFg/ZPBU0hW90TsdnWfkj+6HxBM9nI3WGvLmf2RANEs9M0C2F0iSToRzO0UOB
01cxcfEtSnrbKQq6mafMpLiAgmDLO4zGKUXh5YagCQdFSoVUdWy0SxREybWssWCYim7Qzyg6rfKr
qSAMBdBPHaukuFOLTkVRsl+YLhKnoqYg6CgGKnjyq3EegEpKWJwKLZtIfbvefhEfltoCuk30zaaS
ngL3Yy+fdgWlZ1BFZbbORFQdedvIUEQ+VoBoF++eV3yoEakgU0ilUhHbMyvutEsEUNi27AGAdSQs
YIN8ZyEDDevIJngLlgFFZ6WMFCZpi84BAVUgqxHZCMDN0PGM7XcoA5alkE8nRygAz8XVPtuQ11Is
6vdPQV1joj3VISiCo+cAc+coy6ODg677/GrhcYA3KysEXYVoKkX2T45zXRYcVcnxN0jMtlQWgF0o
9ZSELLAVeppoBKg/vWViGVPd9+QltU4GKC2WNofQiDr5I/JX5U7geD08DxxiJySrKHMsLePWnYb4
SCKvLmcXEBXogfxCB3Ah6Q2rSKQBQTHHKKJiQ1xFUrFFOoERb6LjQYoLwmOm+hkP4bgsWDgQFpWn
QM+39TxgKEUz3/ur0URDA7KfOSqiSSG/GvaB1VNoHumSWC6tqBbG0bqa9I7oKVQLiVHVpQZsnAtY
SRTlA9BilVxq4Y4wxSwVqR2h4w7QMCSQAQqJb1jMFjEkm2OB/rtCVlonC2TENFk7gXOBpknRYlpe
sPVQR2AzghoixqI/n57t8hsI8gnMBylZMJjKAUBLz6ICNL8assD0K4UmdyKXpSr9hR3xE4rkKW3T
n/nBJE/Y+F5yLK/zvR9UiYqX35dJijwTQWFU7Ycif1PcuwjJib//rkXa8kTKwZdVYiW/T/nv5QO+
vHXtXtVTVR9e+l7sxuMZ0yTJ9ezKZQ7dJUmf/wbuV3fpHsZL0VqI+vNK/vNXbZ0H7/8HhJNFg64A
BJGmG/v7KKwTzn16ecILN0zcpFqieI2U8SB+spT7buB/i2jxqa26CMhK02bkbOxOomqVYtVFhEee
chh649Qfr2vRdGbdYNXJEh94gcssA6+iJJZNAeMJmF1lAM6ib2cMmVsvv9bZXnj9sus/h+v+pPY+
yxSsLOULL2LSe51y4arLUr6E475/yHE6rgSciCzhq4k7qwmgatAgfAK6VMeGwBxWlPIdWaS0pJcc
Tny3cYoUQTFpytG2/vKoakTFyZK9eXk2mTiTJyDMytbjxa6ilDNZqN/qg6OVB08mwGsq4F209pMX
bKZA/QSy8d2BYbmK+/0137rxLnDDSfX0gh1leET2Fd6Cr+2OZ+vES9OaTJcJCWn6/phub7dehltU
RMiTRhckUVqT7DKNJE87YWwtlZ6r2tlEVKaLs3QK6vQqNUmLgI806SikGarBEiBx5CkPva8xM2Hq
pDVblEbLLnrobdy63ioDP/KEt2eX7nKVzPy6Woc+4/VOsPDt2bUXJ96uopVvzSJec4rF33qZP66p
MYJBoqjqFMT/YQx0Ralct4iwSJOOgOg/67txhKasiwsF5ye7wcBdNPc+fT9kD2TX/z/QFCoqOVuM
vFRDmuwiwCKpezVAVjgn0Dvf73SQVDzvvZDxT8HGbbgJZeRBliX3s2jinV0lL3SbRaqyegW/rzY/
ME7iuCBSjCZgWmXXX9zgpSAK8ifwRx7gvpckXs0hAVVCBABll/7gZXWvsizQk6X7MXVn1erE5tGZ
pnICa/6TFwNcWPP5dFTxCQ7CTz6eTUO8AeU7hfx9dtE74TSt1wCW8SpZRn/2kvTs6OKJYJ9A+D77
yTgKE79muZWlStJrp+EDxtTkBDiKHyrkY5Gmp1rfl/Gnqob32L/Vg2viF+PAc+O//wUAAP//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0</xdr:rowOff>
    </xdr:from>
    <xdr:to>
      <xdr:col>23</xdr:col>
      <xdr:colOff>561975</xdr:colOff>
      <xdr:row>36</xdr:row>
      <xdr:rowOff>104775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B0816C6-08C9-446D-B849-72479777C0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0"/>
              <a:ext cx="12877800" cy="6962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676276</xdr:colOff>
      <xdr:row>0</xdr:row>
      <xdr:rowOff>0</xdr:rowOff>
    </xdr:from>
    <xdr:to>
      <xdr:col>23</xdr:col>
      <xdr:colOff>152400</xdr:colOff>
      <xdr:row>31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9E66DE-BC34-510A-333A-1E86370FF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681036</xdr:colOff>
      <xdr:row>0</xdr:row>
      <xdr:rowOff>0</xdr:rowOff>
    </xdr:from>
    <xdr:to>
      <xdr:col>24</xdr:col>
      <xdr:colOff>171449</xdr:colOff>
      <xdr:row>38</xdr:row>
      <xdr:rowOff>147639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B0FDB-B26B-79F5-DB83-5F8834741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34658</xdr:colOff>
      <xdr:row>0</xdr:row>
      <xdr:rowOff>0</xdr:rowOff>
    </xdr:from>
    <xdr:to>
      <xdr:col>24</xdr:col>
      <xdr:colOff>634733</xdr:colOff>
      <xdr:row>38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94FB3-02C9-9CAC-0D38-BDB92D356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0.00942</cdr:x>
      <cdr:y>0.51148</cdr:y>
    </cdr:from>
    <cdr:to>
      <cdr:x>0.96527</cdr:x>
      <cdr:y>0.51278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1172B2A6-8109-5407-58A0-BF4FED9303AF}"/>
            </a:ext>
          </a:extLst>
        </cdr:cNvPr>
        <cdr:cNvCxnSpPr/>
      </cdr:nvCxnSpPr>
      <cdr:spPr>
        <a:xfrm xmlns:a="http://schemas.openxmlformats.org/drawingml/2006/main" flipV="1">
          <a:off x="121585" y="3741593"/>
          <a:ext cx="12341523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0.00146</cdr:x>
      <cdr:y>0.47499</cdr:y>
    </cdr:from>
    <cdr:to>
      <cdr:x>0.06727</cdr:x>
      <cdr:y>0.53788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9334D99-87F6-925B-E562-C02B5F161E51}"/>
            </a:ext>
          </a:extLst>
        </cdr:cNvPr>
        <cdr:cNvSpPr txBox="1"/>
      </cdr:nvSpPr>
      <cdr:spPr>
        <a:xfrm xmlns:a="http://schemas.openxmlformats.org/drawingml/2006/main">
          <a:off x="18847" y="3474681"/>
          <a:ext cx="851871" cy="4600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FF0000"/>
              </a:solidFill>
            </a:rPr>
            <a:t>AFC</a:t>
          </a:r>
        </a:p>
      </cdr:txBody>
    </cdr:sp>
  </cdr:relSizeAnchor>
  <cdr:relSizeAnchor xmlns:cdr="http://schemas.openxmlformats.org/drawingml/2006/chartDrawing">
    <cdr:from>
      <cdr:x>0.00057</cdr:x>
      <cdr:y>0.50484</cdr:y>
    </cdr:from>
    <cdr:to>
      <cdr:x>0.05025</cdr:x>
      <cdr:y>0.56071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18837B2D-3881-E9F2-8CA1-7DBEEA292D37}"/>
            </a:ext>
          </a:extLst>
        </cdr:cNvPr>
        <cdr:cNvSpPr txBox="1"/>
      </cdr:nvSpPr>
      <cdr:spPr>
        <a:xfrm xmlns:a="http://schemas.openxmlformats.org/drawingml/2006/main">
          <a:off x="7392" y="3693028"/>
          <a:ext cx="645868" cy="408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 kern="1200">
              <a:solidFill>
                <a:srgbClr val="0070C0"/>
              </a:solidFill>
            </a:rPr>
            <a:t>NFC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681318</xdr:colOff>
      <xdr:row>0</xdr:row>
      <xdr:rowOff>0</xdr:rowOff>
    </xdr:from>
    <xdr:to>
      <xdr:col>38</xdr:col>
      <xdr:colOff>358588</xdr:colOff>
      <xdr:row>41</xdr:row>
      <xdr:rowOff>106456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88518E-58F9-97B7-0061-2670EF75E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7FF8EC-5658-4983-8A4A-AEF19BC987AA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total" tableColumnId="2"/>
      <queryTableField id="3" name="home" tableColumnId="3"/>
      <queryTableField id="4" name="away" tableColumnId="4"/>
      <queryTableField id="5" name="team_name" tableColumnId="5"/>
      <queryTableField id="6" name="current_team_nam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3FC4FA1-17CA-4C4F-893F-0BE7A92A2AF0}" autoFormatId="16" applyNumberFormats="0" applyBorderFormats="0" applyFontFormats="0" applyPatternFormats="0" applyAlignmentFormats="0" applyWidthHeightFormats="0">
  <queryTableRefresh nextId="12">
    <queryTableFields count="11">
      <queryTableField id="1" name="year" tableColumnId="1"/>
      <queryTableField id="2" name="current_team_name" tableColumnId="2"/>
      <queryTableField id="3" name="wins" tableColumnId="3"/>
      <queryTableField id="4" name="loss" tableColumnId="4"/>
      <queryTableField id="5" name="points_for" tableColumnId="5"/>
      <queryTableField id="6" name="points_against" tableColumnId="6"/>
      <queryTableField id="7" name="simple_rating" tableColumnId="7"/>
      <queryTableField id="8" name="offensive_ranking" tableColumnId="8"/>
      <queryTableField id="9" name="defensive_ranking" tableColumnId="9"/>
      <queryTableField id="10" name="playoffs" tableColumnId="10"/>
      <queryTableField id="11" name="sb_winner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3C5D4E-7440-46A4-A7AC-73DF71306CBA}" autoFormatId="16" applyNumberFormats="0" applyBorderFormats="0" applyFontFormats="0" applyPatternFormats="0" applyAlignmentFormats="0" applyWidthHeightFormats="0">
  <queryTableRefresh nextId="10">
    <queryTableFields count="9">
      <queryTableField id="1" name="team_name" tableColumnId="1"/>
      <queryTableField id="2" name="home_stadium" tableColumnId="2"/>
      <queryTableField id="3" name="location" tableColumnId="3"/>
      <queryTableField id="4" name="lat" tableColumnId="4"/>
      <queryTableField id="5" name="long" tableColumnId="5"/>
      <queryTableField id="6" name="conference" tableColumnId="6"/>
      <queryTableField id="7" name="division" tableColumnId="7"/>
      <queryTableField id="8" name="superbowl_wins" tableColumnId="8"/>
      <queryTableField id="9" name="year_es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72C3BB5-6743-4916-89A0-D43975624BEA}" autoFormatId="16" applyNumberFormats="0" applyBorderFormats="0" applyFontFormats="0" applyPatternFormats="0" applyAlignmentFormats="0" applyWidthHeightFormats="0">
  <queryTableRefresh nextId="5" unboundColumnsRight="2">
    <queryTableFields count="3">
      <queryTableField id="1" name="City" tableColumnId="1"/>
      <queryTableField id="2" dataBound="0" tableColumnId="2"/>
      <queryTableField id="4" dataBound="0" tableColumnId="4"/>
    </queryTableFields>
    <queryTableDeletedFields count="2">
      <deletedField name="Median Household Income(dollars)"/>
      <deletedField name="current_team_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DAB31-E593-4310-A064-9013EB716D7B}" name="Sheet1__2" displayName="Sheet1__2" ref="A1:F639" tableType="queryTable" totalsRowShown="0">
  <autoFilter ref="A1:F639" xr:uid="{8ABDAB31-E593-4310-A064-9013EB716D7B}"/>
  <tableColumns count="6">
    <tableColumn id="1" xr3:uid="{EF0705ED-4D6D-4E46-A15E-6AF35BE7CC10}" uniqueName="1" name="year" queryTableFieldId="1"/>
    <tableColumn id="2" xr3:uid="{BAC0B982-3D8D-4CB8-96C2-626676A55A33}" uniqueName="2" name="total" queryTableFieldId="2"/>
    <tableColumn id="3" xr3:uid="{92AE2728-0F40-40A1-BFE4-247FAE08471D}" uniqueName="3" name="home" queryTableFieldId="3"/>
    <tableColumn id="4" xr3:uid="{EC98EB5F-8130-41AB-A225-69495C9C7CAA}" uniqueName="4" name="away" queryTableFieldId="4"/>
    <tableColumn id="5" xr3:uid="{FE8836BA-A980-4316-BFC0-4D496018655B}" uniqueName="5" name="legacy_team_name" queryTableFieldId="5" dataDxfId="24"/>
    <tableColumn id="6" xr3:uid="{CD357DE1-1C4E-4684-8948-EF1B5A2C519C}" uniqueName="6" name="team_name" queryTableFieldId="6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1C6538-06F5-41DC-87F8-E1BE3044491E}" name="Sheet1__4" displayName="Sheet1__4" ref="A1:K639" tableType="queryTable" totalsRowShown="0">
  <autoFilter ref="A1:K639" xr:uid="{601C6538-06F5-41DC-87F8-E1BE3044491E}"/>
  <tableColumns count="11">
    <tableColumn id="1" xr3:uid="{B882C858-F8D3-414F-A577-8B16C76C1427}" uniqueName="1" name="year" queryTableFieldId="1"/>
    <tableColumn id="2" xr3:uid="{9D99B701-E7D2-479E-8C4F-E162A7A642B8}" uniqueName="2" name="team_name" queryTableFieldId="2" dataDxfId="22"/>
    <tableColumn id="3" xr3:uid="{70B736F7-A4F9-4C30-9FB5-24B0034CD500}" uniqueName="3" name="wins" queryTableFieldId="3"/>
    <tableColumn id="4" xr3:uid="{4D3E29D1-3B0D-4578-8291-6B98FF84CD94}" uniqueName="4" name="loss" queryTableFieldId="4"/>
    <tableColumn id="5" xr3:uid="{9E8C3F6F-7184-41F5-A1AF-D894ECDFAC7A}" uniqueName="5" name="points_for" queryTableFieldId="5"/>
    <tableColumn id="6" xr3:uid="{D921BB66-5F5B-4D76-A97D-893E31FAFE57}" uniqueName="6" name="points_against" queryTableFieldId="6"/>
    <tableColumn id="7" xr3:uid="{0C720EDE-BE82-40C6-BBEF-7A620B232C7B}" uniqueName="7" name="simple_rating" queryTableFieldId="7"/>
    <tableColumn id="8" xr3:uid="{24CFCAB5-CF04-4E23-BC08-E1B6BAFB33C1}" uniqueName="8" name="offensive_ranking" queryTableFieldId="8"/>
    <tableColumn id="9" xr3:uid="{E0A8B726-2C69-4D46-8B53-44C8C97BB0E7}" uniqueName="9" name="defensive_ranking" queryTableFieldId="9"/>
    <tableColumn id="10" xr3:uid="{4096CBA5-1378-4777-AF74-2ED1A2383859}" uniqueName="10" name="playoffs" queryTableFieldId="10"/>
    <tableColumn id="11" xr3:uid="{0E5A8E99-92C9-45DB-ADF5-A19C5D92789F}" uniqueName="11" name="sb_winner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E90F1-1F44-4C64-9303-59599335B2DF}" name="Sheet1" displayName="Sheet1" ref="A1:I33" tableType="queryTable" totalsRowShown="0">
  <autoFilter ref="A1:I33" xr:uid="{FB3E90F1-1F44-4C64-9303-59599335B2DF}"/>
  <tableColumns count="9">
    <tableColumn id="1" xr3:uid="{2414FDAB-5F4E-432A-BCED-5504BAECF3B0}" uniqueName="1" name="team_name" queryTableFieldId="1" dataDxfId="21"/>
    <tableColumn id="2" xr3:uid="{9026DA36-A48D-45B0-96E4-8564C5E23D12}" uniqueName="2" name="home_stadium" queryTableFieldId="2" dataDxfId="20"/>
    <tableColumn id="3" xr3:uid="{250DEAEF-8CCD-420E-803A-18091B47D073}" uniqueName="3" name="location" queryTableFieldId="3" dataDxfId="19"/>
    <tableColumn id="4" xr3:uid="{CFB089CD-6DEF-4D85-BA28-8F259CA58684}" uniqueName="4" name="lat" queryTableFieldId="4"/>
    <tableColumn id="5" xr3:uid="{DC5754EF-1D96-4F50-99BD-D6395C82A9F2}" uniqueName="5" name="long" queryTableFieldId="5"/>
    <tableColumn id="6" xr3:uid="{25CA3FAB-C284-4978-BD6A-594F0AFCC0BB}" uniqueName="6" name="conference" queryTableFieldId="6" dataDxfId="18"/>
    <tableColumn id="7" xr3:uid="{DB983A09-A6E1-40E4-9117-772D1F7FCB46}" uniqueName="7" name="division" queryTableFieldId="7" dataDxfId="17"/>
    <tableColumn id="8" xr3:uid="{7DEF2152-6DD5-4316-8B1F-AA32AA02E9E4}" uniqueName="8" name="superbowl_wins" queryTableFieldId="8"/>
    <tableColumn id="9" xr3:uid="{BA22BF76-294D-4472-BF99-C8AC2AB942F1}" uniqueName="9" name="year_es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9508D0-2984-4052-BE38-568FCED1EB41}" name="Sheet1__5" displayName="Sheet1__5" ref="A1:C40" tableType="queryTable" totalsRowShown="0">
  <autoFilter ref="A1:C40" xr:uid="{B39508D0-2984-4052-BE38-568FCED1EB41}"/>
  <tableColumns count="3">
    <tableColumn id="1" xr3:uid="{368F524B-53D7-407A-8368-BD22AB005FD7}" uniqueName="1" name="City" queryTableFieldId="1" dataDxfId="16"/>
    <tableColumn id="2" xr3:uid="{12B49A59-D980-4EEF-90E8-CC61F33825C2}" uniqueName="2" name="team_name" queryTableFieldId="2"/>
    <tableColumn id="4" xr3:uid="{52834579-A2E4-41EF-AB02-11D5D4DC5D47}" uniqueName="4" name="Median Household Income (dollars)" queryTableFieldId="4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4FB400-6C55-457F-8A8B-95B37E4812D3}" name="Table12" displayName="Table12" ref="A1:C25" totalsRowShown="0">
  <autoFilter ref="A1:C25" xr:uid="{2E4FB400-6C55-457F-8A8B-95B37E4812D3}"/>
  <tableColumns count="3">
    <tableColumn id="1" xr3:uid="{2BC16311-F90D-423E-9F97-CEB9EE1F7674}" name="State"/>
    <tableColumn id="2" xr3:uid="{49D844BD-2C33-4ABA-9B28-FEC27DFAE3E8}" name="Total Wins"/>
    <tableColumn id="3" xr3:uid="{AFF15561-2448-40FE-A32D-4FB4F3283378}" name="Team Count (Curr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6D8375-A3F7-4CCB-BFE4-2FAD674A04B8}" name="Table5" displayName="Table5" ref="A37:D45" totalsRowShown="0">
  <autoFilter ref="A37:D45" xr:uid="{8F6D8375-A3F7-4CCB-BFE4-2FAD674A04B8}"/>
  <tableColumns count="4">
    <tableColumn id="1" xr3:uid="{42CED5AC-3BE0-4808-80A0-04115FB077B5}" name="Division"/>
    <tableColumn id="2" xr3:uid="{185099F8-2773-4627-BCA5-57E792F79D82}" name="Conference"/>
    <tableColumn id="3" xr3:uid="{73A159F5-24A9-4077-ABAA-869EF7F51CEA}" name="Avg Off Rating"/>
    <tableColumn id="4" xr3:uid="{BA768AC4-3401-4C39-906B-D8D962D8BA70}" name="Avg Def Rati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5F71CD-31D1-47D3-988F-63B6B901EE39}" name="Table6" displayName="Table6" ref="A1:E33" totalsRowShown="0">
  <autoFilter ref="A1:E33" xr:uid="{625F71CD-31D1-47D3-988F-63B6B901EE39}"/>
  <tableColumns count="5">
    <tableColumn id="1" xr3:uid="{BAF8228E-4F7F-495B-8CC3-0F86F0A73F4A}" name="Team" dataDxfId="14"/>
    <tableColumn id="2" xr3:uid="{4E25D4C9-8A96-4115-A7EF-C4F7814DAFE8}" name="Conference" dataDxfId="13"/>
    <tableColumn id="3" xr3:uid="{D994A9AE-C112-4C90-9C1F-35DE71D38F14}" name="Division" dataDxfId="12"/>
    <tableColumn id="4" xr3:uid="{75695FEC-B863-4507-9BF8-0126A455D1BE}" name="Avg Offensive Rating">
      <calculatedColumnFormula>AVERAGEIF(Standings!$B:$B,A2,Standings!$H:$H)</calculatedColumnFormula>
    </tableColumn>
    <tableColumn id="5" xr3:uid="{8EC7C26D-7381-4AFE-8815-71AB0BFFFB60}" name="Avg Defensive Rating">
      <calculatedColumnFormula>AVERAGEIF(Standings!$B:$B,A2,Standings!$I:$I)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4F043E-0631-483D-ABFE-3FA6864B16EB}" name="Table8" displayName="Table8" ref="A1:C33" totalsRowShown="0">
  <autoFilter ref="A1:C33" xr:uid="{884F043E-0631-483D-ABFE-3FA6864B16EB}"/>
  <tableColumns count="3">
    <tableColumn id="1" xr3:uid="{7619EF05-8F38-4093-8948-CC4520C9D46F}" name="Team" dataDxfId="11"/>
    <tableColumn id="2" xr3:uid="{829C3A3F-46A4-4551-B90D-7F906697A27A}" name="Median Household Income" dataDxfId="10">
      <calculatedColumnFormula>AVERAGEIF(Census!$B:$B,A2,Census!$C:$C)</calculatedColumnFormula>
    </tableColumn>
    <tableColumn id="3" xr3:uid="{FB3349D2-A901-4BAF-9989-4C3968AEDA7D}" name="Total Wins">
      <calculatedColumnFormula>SUMIF(Standings!$B:$B,A2,Standings!$C:$C)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FCF564F-E629-4766-B965-CA2202FFC8FC}" name="Table9" displayName="Table9" ref="A1:D34" totalsRowShown="0" headerRowDxfId="30" dataDxfId="29">
  <autoFilter ref="A1:D34" xr:uid="{2FCF564F-E629-4766-B965-CA2202FFC8FC}"/>
  <sortState xmlns:xlrd2="http://schemas.microsoft.com/office/spreadsheetml/2017/richdata2" ref="A2:D34">
    <sortCondition ref="B1:B34"/>
  </sortState>
  <tableColumns count="4">
    <tableColumn id="1" xr3:uid="{2E2CE2E1-F4E2-40A7-AA20-BDFB440D4653}" name="Team" dataDxfId="28"/>
    <tableColumn id="2" xr3:uid="{21BB571C-8FB5-418D-9ABE-1524A1599142}" name="Conference" dataDxfId="27"/>
    <tableColumn id="3" xr3:uid="{08BC342C-80F3-40AD-BF28-EFFC69FF444D}" name="Total Wins" dataDxfId="26">
      <calculatedColumnFormula>SUMIF(Standings!$B:$B,A2,Standings!$C:$C)</calculatedColumnFormula>
    </tableColumn>
    <tableColumn id="4" xr3:uid="{71BEED80-AA0D-4EEB-8918-14A55A383E79}" name="Total Losses" dataDxfId="25">
      <calculatedColumnFormula>SUMIF(Standings!$B:$B,A2,Standings!$D:$D)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1E0EA54-085A-4DCD-9156-8906404B1C9E}" name="Table10" displayName="Table10" ref="A1:K21" totalsRowShown="0">
  <autoFilter ref="A1:K21" xr:uid="{A1E0EA54-085A-4DCD-9156-8906404B1C9E}"/>
  <tableColumns count="11">
    <tableColumn id="1" xr3:uid="{6CF517FF-AE9A-435D-B038-A3BDE3E51706}" name="Year">
      <calculatedColumnFormula xml:space="preserve"> A1 +1</calculatedColumnFormula>
    </tableColumn>
    <tableColumn id="2" xr3:uid="{90CD3B5B-0EFC-4B00-80FB-A57E4BB142CA}" name="New England Patriots">
      <calculatedColumnFormula>AVERAGEIFS(Standings!$G:$G,Standings!$B:$B,"New England Patriots",Standings!$A:$A,A2)</calculatedColumnFormula>
    </tableColumn>
    <tableColumn id="3" xr3:uid="{7F47AC2A-62B7-431A-BA21-41ABCD2C063F}" name="Pittsburgh Steelers">
      <calculatedColumnFormula>AVERAGEIFS(Standings!$G:$G,Standings!$B:$B,"Pittsburgh Steelers",Standings!$A:$A,A2)</calculatedColumnFormula>
    </tableColumn>
    <tableColumn id="4" xr3:uid="{CE190AEF-7B50-436D-AE12-B84A636E00F8}" name="Green Bay Packers">
      <calculatedColumnFormula>AVERAGEIFS(Standings!$G:$G,Standings!$B:$B,"Green Bay Packers",Standings!$A:$A,A2)</calculatedColumnFormula>
    </tableColumn>
    <tableColumn id="5" xr3:uid="{176AF305-5003-4140-A3B4-11313FF87B29}" name="Philadelphia Eagles">
      <calculatedColumnFormula>AVERAGEIFS(Standings!$G:$G,Standings!$B:$B,"Philadelphia Eagles",Standings!$A:$A,A2)</calculatedColumnFormula>
    </tableColumn>
    <tableColumn id="6" xr3:uid="{6D59411F-B18A-4AA3-BE38-3A7E1EB9298E}" name="Cleveland Browns">
      <calculatedColumnFormula>AVERAGEIFS(Standings!$G:$G,Standings!$B:$B,"Cleveland Browns",Standings!$A:$A,A2)</calculatedColumnFormula>
    </tableColumn>
    <tableColumn id="7" xr3:uid="{111D9AB3-953B-45C6-8D9E-400BDCF8EC39}" name="Detroit Lions">
      <calculatedColumnFormula>AVERAGEIFS(Standings!$G:$G,Standings!$B:$B,"Detroit Lions",Standings!$A:$A,A2)</calculatedColumnFormula>
    </tableColumn>
    <tableColumn id="8" xr3:uid="{28612117-7441-4FA8-B4EA-EC1E11E141F4}" name="Washington Commanders">
      <calculatedColumnFormula>AVERAGEIFS(Standings!$G:$G,Standings!$B:$B,"Washington Commanders",Standings!$A:$A,A2)</calculatedColumnFormula>
    </tableColumn>
    <tableColumn id="9" xr3:uid="{CDBEE4B8-ADAF-4CC9-82E3-BC333E3CE6B1}" name="Jacksonville Jaguars">
      <calculatedColumnFormula>AVERAGEIFS(Standings!$G:$G,Standings!$B:$B,"Jacksonville Jaguars",Standings!$A:$A,A2)</calculatedColumnFormula>
    </tableColumn>
    <tableColumn id="10" xr3:uid="{089A03F7-27BC-4071-9404-448162156C63}" name="New York Jets">
      <calculatedColumnFormula>AVERAGEIFS(Standings!$G:$G,Standings!$B:$B,"New York Jets",Standings!$A:$A,A2)</calculatedColumnFormula>
    </tableColumn>
    <tableColumn id="11" xr3:uid="{E8AF60E7-2FC1-46C2-A70A-DEDF7169AAFB}" name="Los Angeles Rams">
      <calculatedColumnFormula>AVERAGEIFS(Standings!$G:$G,Standings!$B:$B,"Los Angeles Rams",Standings!$A:$A,A2)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D4DCCE-1F22-49FB-84A2-D19A084598A6}" name="Table11" displayName="Table11" ref="A1:I33" totalsRowShown="0" headerRowDxfId="9">
  <autoFilter ref="A1:I33" xr:uid="{F6D4DCCE-1F22-49FB-84A2-D19A084598A6}"/>
  <tableColumns count="9">
    <tableColumn id="1" xr3:uid="{10FE627D-7792-4FFF-8FAF-170E652173DA}" name="team_name" dataDxfId="8"/>
    <tableColumn id="2" xr3:uid="{FD1BEE62-985C-4DD3-8628-7F48A2E6DA99}" name="Conference" dataDxfId="7"/>
    <tableColumn id="3" xr3:uid="{6A3C075B-CE5F-4761-A8CE-F150B6361B0F}" name="Division" dataDxfId="6"/>
    <tableColumn id="4" xr3:uid="{3B62A567-9FB7-4C11-8E99-61F03FBAD242}" name="Total Wins" dataDxfId="5">
      <calculatedColumnFormula>SUMIF(Standings!$B:$B,A2,Standings!$C:$C)</calculatedColumnFormula>
    </tableColumn>
    <tableColumn id="5" xr3:uid="{4BC998CE-4791-45E0-A31F-4AADF0B43816}" name="Total Losses" dataDxfId="4">
      <calculatedColumnFormula>SUMIF(Standings!$B:$B,A2,Standings!$D:$D)</calculatedColumnFormula>
    </tableColumn>
    <tableColumn id="6" xr3:uid="{D63E5AAD-92DF-4783-B0F4-41DF04B5F156}" name="Avg Offensive Rating" dataDxfId="3">
      <calculatedColumnFormula>AVERAGEIF(Standings!$B:$B,A2,Standings!$H:$H)</calculatedColumnFormula>
    </tableColumn>
    <tableColumn id="7" xr3:uid="{BA3CE53F-77EE-4335-9A8E-76F8A753F961}" name="Avg Defensive Rating" dataDxfId="2">
      <calculatedColumnFormula>AVERAGEIF(Standings!$B:$B,A2,Standings!$I:$I)</calculatedColumnFormula>
    </tableColumn>
    <tableColumn id="8" xr3:uid="{715568E3-6509-4058-ACEA-652D3DB72263}" name="Playoff Appearances" dataDxfId="1">
      <calculatedColumnFormula>SUMIF(Standings!$B:$B,A2,Standings!$J:$J)</calculatedColumnFormula>
    </tableColumn>
    <tableColumn id="9" xr3:uid="{25C989F3-E191-4540-A9A0-1F8B977EE192}" name="Super Bowl Wins" dataDxfId="0">
      <calculatedColumnFormula>SUMIF(Standings!$B:$B,A2,Standings!$K:$K)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etropolitan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Metropolitan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Metropolitan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C480-D245-4E0B-BCBC-C34F8ADF122B}">
  <dimension ref="A1:F639"/>
  <sheetViews>
    <sheetView workbookViewId="0">
      <selection activeCell="H13" sqref="H13"/>
    </sheetView>
  </sheetViews>
  <sheetFormatPr defaultRowHeight="15" x14ac:dyDescent="0.25"/>
  <cols>
    <col min="1" max="1" width="7" customWidth="1"/>
    <col min="2" max="2" width="7.875" customWidth="1"/>
    <col min="3" max="3" width="8.375" customWidth="1"/>
    <col min="4" max="4" width="7.625" customWidth="1"/>
    <col min="5" max="6" width="24.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180</v>
      </c>
      <c r="F1" t="s">
        <v>4</v>
      </c>
    </row>
    <row r="2" spans="1:6" x14ac:dyDescent="0.25">
      <c r="A2">
        <v>2000</v>
      </c>
      <c r="B2">
        <v>893926</v>
      </c>
      <c r="C2">
        <v>387475</v>
      </c>
      <c r="D2">
        <v>506451</v>
      </c>
      <c r="E2" t="s">
        <v>5</v>
      </c>
      <c r="F2" t="s">
        <v>5</v>
      </c>
    </row>
    <row r="3" spans="1:6" x14ac:dyDescent="0.25">
      <c r="A3">
        <v>2000</v>
      </c>
      <c r="B3">
        <v>964579</v>
      </c>
      <c r="C3">
        <v>422814</v>
      </c>
      <c r="D3">
        <v>541765</v>
      </c>
      <c r="E3" t="s">
        <v>6</v>
      </c>
      <c r="F3" t="s">
        <v>6</v>
      </c>
    </row>
    <row r="4" spans="1:6" x14ac:dyDescent="0.25">
      <c r="A4">
        <v>2000</v>
      </c>
      <c r="B4">
        <v>1062373</v>
      </c>
      <c r="C4">
        <v>551695</v>
      </c>
      <c r="D4">
        <v>510678</v>
      </c>
      <c r="E4" t="s">
        <v>7</v>
      </c>
      <c r="F4" t="s">
        <v>7</v>
      </c>
    </row>
    <row r="5" spans="1:6" x14ac:dyDescent="0.25">
      <c r="A5">
        <v>2000</v>
      </c>
      <c r="B5">
        <v>1098587</v>
      </c>
      <c r="C5">
        <v>560695</v>
      </c>
      <c r="D5">
        <v>537892</v>
      </c>
      <c r="E5" t="s">
        <v>8</v>
      </c>
      <c r="F5" t="s">
        <v>8</v>
      </c>
    </row>
    <row r="6" spans="1:6" x14ac:dyDescent="0.25">
      <c r="A6">
        <v>2000</v>
      </c>
      <c r="B6">
        <v>1095192</v>
      </c>
      <c r="C6">
        <v>583489</v>
      </c>
      <c r="D6">
        <v>511703</v>
      </c>
      <c r="E6" t="s">
        <v>9</v>
      </c>
      <c r="F6" t="s">
        <v>9</v>
      </c>
    </row>
    <row r="7" spans="1:6" x14ac:dyDescent="0.25">
      <c r="A7">
        <v>2000</v>
      </c>
      <c r="B7">
        <v>1080684</v>
      </c>
      <c r="C7">
        <v>535552</v>
      </c>
      <c r="D7">
        <v>545132</v>
      </c>
      <c r="E7" t="s">
        <v>10</v>
      </c>
      <c r="F7" t="s">
        <v>10</v>
      </c>
    </row>
    <row r="8" spans="1:6" x14ac:dyDescent="0.25">
      <c r="A8">
        <v>2000</v>
      </c>
      <c r="B8">
        <v>967434</v>
      </c>
      <c r="C8">
        <v>469992</v>
      </c>
      <c r="D8">
        <v>497442</v>
      </c>
      <c r="E8" t="s">
        <v>11</v>
      </c>
      <c r="F8" t="s">
        <v>11</v>
      </c>
    </row>
    <row r="9" spans="1:6" x14ac:dyDescent="0.25">
      <c r="A9">
        <v>2000</v>
      </c>
      <c r="B9">
        <v>1057139</v>
      </c>
      <c r="C9">
        <v>581544</v>
      </c>
      <c r="D9">
        <v>475595</v>
      </c>
      <c r="E9" t="s">
        <v>12</v>
      </c>
      <c r="F9" t="s">
        <v>12</v>
      </c>
    </row>
    <row r="10" spans="1:6" x14ac:dyDescent="0.25">
      <c r="A10">
        <v>2000</v>
      </c>
      <c r="B10">
        <v>1075470</v>
      </c>
      <c r="C10">
        <v>504360</v>
      </c>
      <c r="D10">
        <v>571110</v>
      </c>
      <c r="E10" t="s">
        <v>13</v>
      </c>
      <c r="F10" t="s">
        <v>13</v>
      </c>
    </row>
    <row r="11" spans="1:6" x14ac:dyDescent="0.25">
      <c r="A11">
        <v>2000</v>
      </c>
      <c r="B11">
        <v>1140030</v>
      </c>
      <c r="C11">
        <v>604042</v>
      </c>
      <c r="D11">
        <v>535988</v>
      </c>
      <c r="E11" t="s">
        <v>14</v>
      </c>
      <c r="F11" t="s">
        <v>14</v>
      </c>
    </row>
    <row r="12" spans="1:6" x14ac:dyDescent="0.25">
      <c r="A12">
        <v>2000</v>
      </c>
      <c r="B12">
        <v>1140926</v>
      </c>
      <c r="C12">
        <v>607076</v>
      </c>
      <c r="D12">
        <v>533850</v>
      </c>
      <c r="E12" t="s">
        <v>15</v>
      </c>
      <c r="F12" t="s">
        <v>15</v>
      </c>
    </row>
    <row r="13" spans="1:6" x14ac:dyDescent="0.25">
      <c r="A13">
        <v>2000</v>
      </c>
      <c r="B13">
        <v>1049602</v>
      </c>
      <c r="C13">
        <v>478747</v>
      </c>
      <c r="D13">
        <v>570855</v>
      </c>
      <c r="E13" t="s">
        <v>16</v>
      </c>
      <c r="F13" t="s">
        <v>16</v>
      </c>
    </row>
    <row r="14" spans="1:6" x14ac:dyDescent="0.25">
      <c r="A14">
        <v>2000</v>
      </c>
      <c r="B14">
        <v>1008013</v>
      </c>
      <c r="C14">
        <v>454319</v>
      </c>
      <c r="D14">
        <v>553694</v>
      </c>
      <c r="E14" t="s">
        <v>17</v>
      </c>
      <c r="F14" t="s">
        <v>17</v>
      </c>
    </row>
    <row r="15" spans="1:6" x14ac:dyDescent="0.25">
      <c r="A15">
        <v>2000</v>
      </c>
      <c r="B15">
        <v>991957</v>
      </c>
      <c r="C15">
        <v>482510</v>
      </c>
      <c r="D15">
        <v>509447</v>
      </c>
      <c r="E15" t="s">
        <v>18</v>
      </c>
      <c r="F15" t="s">
        <v>18</v>
      </c>
    </row>
    <row r="16" spans="1:6" x14ac:dyDescent="0.25">
      <c r="A16">
        <v>2000</v>
      </c>
      <c r="B16">
        <v>1115272</v>
      </c>
      <c r="C16">
        <v>631365</v>
      </c>
      <c r="D16">
        <v>483907</v>
      </c>
      <c r="E16" t="s">
        <v>19</v>
      </c>
      <c r="F16" t="s">
        <v>19</v>
      </c>
    </row>
    <row r="17" spans="1:6" x14ac:dyDescent="0.25">
      <c r="A17">
        <v>2000</v>
      </c>
      <c r="B17">
        <v>1118883</v>
      </c>
      <c r="C17">
        <v>589909</v>
      </c>
      <c r="D17">
        <v>528974</v>
      </c>
      <c r="E17" t="s">
        <v>20</v>
      </c>
      <c r="F17" t="s">
        <v>20</v>
      </c>
    </row>
    <row r="18" spans="1:6" x14ac:dyDescent="0.25">
      <c r="A18">
        <v>2000</v>
      </c>
      <c r="B18">
        <v>1029262</v>
      </c>
      <c r="C18">
        <v>513322</v>
      </c>
      <c r="D18">
        <v>515940</v>
      </c>
      <c r="E18" t="s">
        <v>21</v>
      </c>
      <c r="F18" t="s">
        <v>21</v>
      </c>
    </row>
    <row r="19" spans="1:6" x14ac:dyDescent="0.25">
      <c r="A19">
        <v>2000</v>
      </c>
      <c r="B19">
        <v>1030594</v>
      </c>
      <c r="C19">
        <v>482336</v>
      </c>
      <c r="D19">
        <v>548258</v>
      </c>
      <c r="E19" t="s">
        <v>22</v>
      </c>
      <c r="F19" t="s">
        <v>22</v>
      </c>
    </row>
    <row r="20" spans="1:6" x14ac:dyDescent="0.25">
      <c r="A20">
        <v>2000</v>
      </c>
      <c r="B20">
        <v>980803</v>
      </c>
      <c r="C20">
        <v>504315</v>
      </c>
      <c r="D20">
        <v>476488</v>
      </c>
      <c r="E20" t="s">
        <v>23</v>
      </c>
      <c r="F20" t="s">
        <v>23</v>
      </c>
    </row>
    <row r="21" spans="1:6" x14ac:dyDescent="0.25">
      <c r="A21">
        <v>2000</v>
      </c>
      <c r="B21">
        <v>1135455</v>
      </c>
      <c r="C21">
        <v>624085</v>
      </c>
      <c r="D21">
        <v>511370</v>
      </c>
      <c r="E21" t="s">
        <v>24</v>
      </c>
      <c r="F21" t="s">
        <v>24</v>
      </c>
    </row>
    <row r="22" spans="1:6" x14ac:dyDescent="0.25">
      <c r="A22">
        <v>2000</v>
      </c>
      <c r="B22">
        <v>1145146</v>
      </c>
      <c r="C22">
        <v>623711</v>
      </c>
      <c r="D22">
        <v>521435</v>
      </c>
      <c r="E22" t="s">
        <v>25</v>
      </c>
      <c r="F22" t="s">
        <v>25</v>
      </c>
    </row>
    <row r="23" spans="1:6" x14ac:dyDescent="0.25">
      <c r="A23">
        <v>2000</v>
      </c>
      <c r="B23">
        <v>998655</v>
      </c>
      <c r="C23">
        <v>462515</v>
      </c>
      <c r="D23">
        <v>536140</v>
      </c>
      <c r="E23" t="s">
        <v>26</v>
      </c>
      <c r="F23" t="s">
        <v>27</v>
      </c>
    </row>
    <row r="24" spans="1:6" x14ac:dyDescent="0.25">
      <c r="A24">
        <v>2000</v>
      </c>
      <c r="B24">
        <v>1039856</v>
      </c>
      <c r="C24">
        <v>523531</v>
      </c>
      <c r="D24">
        <v>516325</v>
      </c>
      <c r="E24" t="s">
        <v>28</v>
      </c>
      <c r="F24" t="s">
        <v>28</v>
      </c>
    </row>
    <row r="25" spans="1:6" x14ac:dyDescent="0.25">
      <c r="A25">
        <v>2000</v>
      </c>
      <c r="B25">
        <v>987037</v>
      </c>
      <c r="C25">
        <v>440426</v>
      </c>
      <c r="D25">
        <v>546611</v>
      </c>
      <c r="E25" t="s">
        <v>29</v>
      </c>
      <c r="F25" t="s">
        <v>29</v>
      </c>
    </row>
    <row r="26" spans="1:6" x14ac:dyDescent="0.25">
      <c r="A26">
        <v>2000</v>
      </c>
      <c r="B26">
        <v>981863</v>
      </c>
      <c r="C26">
        <v>433459</v>
      </c>
      <c r="D26">
        <v>548404</v>
      </c>
      <c r="E26" t="s">
        <v>30</v>
      </c>
      <c r="F26" t="s">
        <v>31</v>
      </c>
    </row>
    <row r="27" spans="1:6" x14ac:dyDescent="0.25">
      <c r="A27">
        <v>2000</v>
      </c>
      <c r="B27">
        <v>1057954</v>
      </c>
      <c r="C27">
        <v>541964</v>
      </c>
      <c r="D27">
        <v>515990</v>
      </c>
      <c r="E27" t="s">
        <v>32</v>
      </c>
      <c r="F27" t="s">
        <v>32</v>
      </c>
    </row>
    <row r="28" spans="1:6" x14ac:dyDescent="0.25">
      <c r="A28">
        <v>2000</v>
      </c>
      <c r="B28">
        <v>1029085</v>
      </c>
      <c r="C28">
        <v>508367</v>
      </c>
      <c r="D28">
        <v>520718</v>
      </c>
      <c r="E28" t="s">
        <v>33</v>
      </c>
      <c r="F28" t="s">
        <v>33</v>
      </c>
    </row>
    <row r="29" spans="1:6" x14ac:dyDescent="0.25">
      <c r="A29">
        <v>2000</v>
      </c>
      <c r="B29">
        <v>1081368</v>
      </c>
      <c r="C29">
        <v>528402</v>
      </c>
      <c r="D29">
        <v>552966</v>
      </c>
      <c r="E29" t="s">
        <v>34</v>
      </c>
      <c r="F29" t="s">
        <v>35</v>
      </c>
    </row>
    <row r="30" spans="1:6" x14ac:dyDescent="0.25">
      <c r="A30">
        <v>2000</v>
      </c>
      <c r="B30">
        <v>1080729</v>
      </c>
      <c r="C30">
        <v>524775</v>
      </c>
      <c r="D30">
        <v>555954</v>
      </c>
      <c r="E30" t="s">
        <v>36</v>
      </c>
      <c r="F30" t="s">
        <v>36</v>
      </c>
    </row>
    <row r="31" spans="1:6" x14ac:dyDescent="0.25">
      <c r="A31">
        <v>2000</v>
      </c>
      <c r="B31">
        <v>1091274</v>
      </c>
      <c r="C31">
        <v>547524</v>
      </c>
      <c r="D31">
        <v>543750</v>
      </c>
      <c r="E31" t="s">
        <v>37</v>
      </c>
      <c r="F31" t="s">
        <v>37</v>
      </c>
    </row>
    <row r="32" spans="1:6" x14ac:dyDescent="0.25">
      <c r="A32">
        <v>2000</v>
      </c>
      <c r="B32">
        <v>1174332</v>
      </c>
      <c r="C32">
        <v>647424</v>
      </c>
      <c r="D32">
        <v>526908</v>
      </c>
      <c r="E32" t="s">
        <v>38</v>
      </c>
      <c r="F32" t="s">
        <v>38</v>
      </c>
    </row>
    <row r="33" spans="1:6" x14ac:dyDescent="0.25">
      <c r="A33">
        <v>2001</v>
      </c>
      <c r="B33">
        <v>811391</v>
      </c>
      <c r="C33">
        <v>307315</v>
      </c>
      <c r="D33">
        <v>504076</v>
      </c>
      <c r="E33" t="s">
        <v>5</v>
      </c>
      <c r="F33" t="s">
        <v>5</v>
      </c>
    </row>
    <row r="34" spans="1:6" x14ac:dyDescent="0.25">
      <c r="A34">
        <v>2001</v>
      </c>
      <c r="B34">
        <v>917882</v>
      </c>
      <c r="C34">
        <v>425717</v>
      </c>
      <c r="D34">
        <v>492165</v>
      </c>
      <c r="E34" t="s">
        <v>6</v>
      </c>
      <c r="F34" t="s">
        <v>6</v>
      </c>
    </row>
    <row r="35" spans="1:6" x14ac:dyDescent="0.25">
      <c r="A35">
        <v>2001</v>
      </c>
      <c r="B35">
        <v>1064731</v>
      </c>
      <c r="C35">
        <v>554991</v>
      </c>
      <c r="D35">
        <v>509740</v>
      </c>
      <c r="E35" t="s">
        <v>7</v>
      </c>
      <c r="F35" t="s">
        <v>7</v>
      </c>
    </row>
    <row r="36" spans="1:6" x14ac:dyDescent="0.25">
      <c r="A36">
        <v>2001</v>
      </c>
      <c r="B36">
        <v>1005954</v>
      </c>
      <c r="C36">
        <v>504736</v>
      </c>
      <c r="D36">
        <v>501218</v>
      </c>
      <c r="E36" t="s">
        <v>8</v>
      </c>
      <c r="F36" t="s">
        <v>8</v>
      </c>
    </row>
    <row r="37" spans="1:6" x14ac:dyDescent="0.25">
      <c r="A37">
        <v>2001</v>
      </c>
      <c r="B37">
        <v>1085651</v>
      </c>
      <c r="C37">
        <v>579080</v>
      </c>
      <c r="D37">
        <v>506571</v>
      </c>
      <c r="E37" t="s">
        <v>9</v>
      </c>
      <c r="F37" t="s">
        <v>9</v>
      </c>
    </row>
    <row r="38" spans="1:6" x14ac:dyDescent="0.25">
      <c r="A38">
        <v>2001</v>
      </c>
      <c r="B38">
        <v>1059454</v>
      </c>
      <c r="C38">
        <v>535552</v>
      </c>
      <c r="D38">
        <v>523902</v>
      </c>
      <c r="E38" t="s">
        <v>10</v>
      </c>
      <c r="F38" t="s">
        <v>10</v>
      </c>
    </row>
    <row r="39" spans="1:6" x14ac:dyDescent="0.25">
      <c r="A39">
        <v>2001</v>
      </c>
      <c r="B39">
        <v>988273</v>
      </c>
      <c r="C39">
        <v>454938</v>
      </c>
      <c r="D39">
        <v>533335</v>
      </c>
      <c r="E39" t="s">
        <v>11</v>
      </c>
      <c r="F39" t="s">
        <v>11</v>
      </c>
    </row>
    <row r="40" spans="1:6" x14ac:dyDescent="0.25">
      <c r="A40">
        <v>2001</v>
      </c>
      <c r="B40">
        <v>1089586</v>
      </c>
      <c r="C40">
        <v>583094</v>
      </c>
      <c r="D40">
        <v>506492</v>
      </c>
      <c r="E40" t="s">
        <v>12</v>
      </c>
      <c r="F40" t="s">
        <v>12</v>
      </c>
    </row>
    <row r="41" spans="1:6" x14ac:dyDescent="0.25">
      <c r="A41">
        <v>2001</v>
      </c>
      <c r="B41">
        <v>1056213</v>
      </c>
      <c r="C41">
        <v>505501</v>
      </c>
      <c r="D41">
        <v>550712</v>
      </c>
      <c r="E41" t="s">
        <v>13</v>
      </c>
      <c r="F41" t="s">
        <v>13</v>
      </c>
    </row>
    <row r="42" spans="1:6" x14ac:dyDescent="0.25">
      <c r="A42">
        <v>2001</v>
      </c>
      <c r="B42">
        <v>1115203</v>
      </c>
      <c r="C42">
        <v>600283</v>
      </c>
      <c r="D42">
        <v>514920</v>
      </c>
      <c r="E42" t="s">
        <v>14</v>
      </c>
      <c r="F42" t="s">
        <v>14</v>
      </c>
    </row>
    <row r="43" spans="1:6" x14ac:dyDescent="0.25">
      <c r="A43">
        <v>2001</v>
      </c>
      <c r="B43">
        <v>1093748</v>
      </c>
      <c r="C43">
        <v>601815</v>
      </c>
      <c r="D43">
        <v>491933</v>
      </c>
      <c r="E43" t="s">
        <v>15</v>
      </c>
      <c r="F43" t="s">
        <v>15</v>
      </c>
    </row>
    <row r="44" spans="1:6" x14ac:dyDescent="0.25">
      <c r="A44">
        <v>2001</v>
      </c>
      <c r="B44">
        <v>1040215</v>
      </c>
      <c r="C44">
        <v>478433</v>
      </c>
      <c r="D44">
        <v>561782</v>
      </c>
      <c r="E44" t="s">
        <v>16</v>
      </c>
      <c r="F44" t="s">
        <v>16</v>
      </c>
    </row>
    <row r="45" spans="1:6" x14ac:dyDescent="0.25">
      <c r="A45">
        <v>2001</v>
      </c>
      <c r="B45">
        <v>1006986</v>
      </c>
      <c r="C45">
        <v>450746</v>
      </c>
      <c r="D45">
        <v>556240</v>
      </c>
      <c r="E45" t="s">
        <v>17</v>
      </c>
      <c r="F45" t="s">
        <v>17</v>
      </c>
    </row>
    <row r="46" spans="1:6" x14ac:dyDescent="0.25">
      <c r="A46">
        <v>2001</v>
      </c>
      <c r="B46">
        <v>987779</v>
      </c>
      <c r="C46">
        <v>483542</v>
      </c>
      <c r="D46">
        <v>504237</v>
      </c>
      <c r="E46" t="s">
        <v>18</v>
      </c>
      <c r="F46" t="s">
        <v>18</v>
      </c>
    </row>
    <row r="47" spans="1:6" x14ac:dyDescent="0.25">
      <c r="A47">
        <v>2001</v>
      </c>
      <c r="B47">
        <v>1120677</v>
      </c>
      <c r="C47">
        <v>617488</v>
      </c>
      <c r="D47">
        <v>503189</v>
      </c>
      <c r="E47" t="s">
        <v>19</v>
      </c>
      <c r="F47" t="s">
        <v>19</v>
      </c>
    </row>
    <row r="48" spans="1:6" x14ac:dyDescent="0.25">
      <c r="A48">
        <v>2001</v>
      </c>
      <c r="B48">
        <v>1119236</v>
      </c>
      <c r="C48">
        <v>587756</v>
      </c>
      <c r="D48">
        <v>531480</v>
      </c>
      <c r="E48" t="s">
        <v>20</v>
      </c>
      <c r="F48" t="s">
        <v>20</v>
      </c>
    </row>
    <row r="49" spans="1:6" x14ac:dyDescent="0.25">
      <c r="A49">
        <v>2001</v>
      </c>
      <c r="B49">
        <v>1045690</v>
      </c>
      <c r="C49">
        <v>513344</v>
      </c>
      <c r="D49">
        <v>532346</v>
      </c>
      <c r="E49" t="s">
        <v>21</v>
      </c>
      <c r="F49" t="s">
        <v>21</v>
      </c>
    </row>
    <row r="50" spans="1:6" x14ac:dyDescent="0.25">
      <c r="A50">
        <v>2001</v>
      </c>
      <c r="B50">
        <v>977717</v>
      </c>
      <c r="C50">
        <v>482336</v>
      </c>
      <c r="D50">
        <v>495381</v>
      </c>
      <c r="E50" t="s">
        <v>22</v>
      </c>
      <c r="F50" t="s">
        <v>22</v>
      </c>
    </row>
    <row r="51" spans="1:6" x14ac:dyDescent="0.25">
      <c r="A51">
        <v>2001</v>
      </c>
      <c r="B51">
        <v>1111335</v>
      </c>
      <c r="C51">
        <v>560472</v>
      </c>
      <c r="D51">
        <v>550863</v>
      </c>
      <c r="E51" t="s">
        <v>23</v>
      </c>
      <c r="F51" t="s">
        <v>23</v>
      </c>
    </row>
    <row r="52" spans="1:6" x14ac:dyDescent="0.25">
      <c r="A52">
        <v>2001</v>
      </c>
      <c r="B52">
        <v>1156600</v>
      </c>
      <c r="C52">
        <v>627985</v>
      </c>
      <c r="D52">
        <v>528615</v>
      </c>
      <c r="E52" t="s">
        <v>24</v>
      </c>
      <c r="F52" t="s">
        <v>24</v>
      </c>
    </row>
    <row r="53" spans="1:6" x14ac:dyDescent="0.25">
      <c r="A53">
        <v>2001</v>
      </c>
      <c r="B53">
        <v>1158872</v>
      </c>
      <c r="C53">
        <v>627808</v>
      </c>
      <c r="D53">
        <v>531064</v>
      </c>
      <c r="E53" t="s">
        <v>25</v>
      </c>
      <c r="F53" t="s">
        <v>25</v>
      </c>
    </row>
    <row r="54" spans="1:6" x14ac:dyDescent="0.25">
      <c r="A54">
        <v>2001</v>
      </c>
      <c r="B54">
        <v>1035571</v>
      </c>
      <c r="C54">
        <v>472091</v>
      </c>
      <c r="D54">
        <v>563480</v>
      </c>
      <c r="E54" t="s">
        <v>26</v>
      </c>
      <c r="F54" t="s">
        <v>27</v>
      </c>
    </row>
    <row r="55" spans="1:6" x14ac:dyDescent="0.25">
      <c r="A55">
        <v>2001</v>
      </c>
      <c r="B55">
        <v>1061162</v>
      </c>
      <c r="C55">
        <v>527193</v>
      </c>
      <c r="D55">
        <v>533969</v>
      </c>
      <c r="E55" t="s">
        <v>28</v>
      </c>
      <c r="F55" t="s">
        <v>28</v>
      </c>
    </row>
    <row r="56" spans="1:6" x14ac:dyDescent="0.25">
      <c r="A56">
        <v>2001</v>
      </c>
      <c r="B56">
        <v>1055127</v>
      </c>
      <c r="C56">
        <v>499191</v>
      </c>
      <c r="D56">
        <v>555936</v>
      </c>
      <c r="E56" t="s">
        <v>29</v>
      </c>
      <c r="F56" t="s">
        <v>29</v>
      </c>
    </row>
    <row r="57" spans="1:6" x14ac:dyDescent="0.25">
      <c r="A57">
        <v>2001</v>
      </c>
      <c r="B57">
        <v>1005530</v>
      </c>
      <c r="C57">
        <v>474844</v>
      </c>
      <c r="D57">
        <v>530686</v>
      </c>
      <c r="E57" t="s">
        <v>30</v>
      </c>
      <c r="F57" t="s">
        <v>31</v>
      </c>
    </row>
    <row r="58" spans="1:6" x14ac:dyDescent="0.25">
      <c r="A58">
        <v>2001</v>
      </c>
      <c r="B58">
        <v>1061811</v>
      </c>
      <c r="C58">
        <v>539756</v>
      </c>
      <c r="D58">
        <v>522055</v>
      </c>
      <c r="E58" t="s">
        <v>32</v>
      </c>
      <c r="F58" t="s">
        <v>32</v>
      </c>
    </row>
    <row r="59" spans="1:6" x14ac:dyDescent="0.25">
      <c r="A59">
        <v>2001</v>
      </c>
      <c r="B59">
        <v>1034365</v>
      </c>
      <c r="C59">
        <v>482818</v>
      </c>
      <c r="D59">
        <v>551547</v>
      </c>
      <c r="E59" t="s">
        <v>33</v>
      </c>
      <c r="F59" t="s">
        <v>33</v>
      </c>
    </row>
    <row r="60" spans="1:6" x14ac:dyDescent="0.25">
      <c r="A60">
        <v>2001</v>
      </c>
      <c r="B60">
        <v>1081519</v>
      </c>
      <c r="C60">
        <v>528829</v>
      </c>
      <c r="D60">
        <v>552690</v>
      </c>
      <c r="E60" t="s">
        <v>34</v>
      </c>
      <c r="F60" t="s">
        <v>35</v>
      </c>
    </row>
    <row r="61" spans="1:6" x14ac:dyDescent="0.25">
      <c r="A61">
        <v>2001</v>
      </c>
      <c r="B61">
        <v>1038298</v>
      </c>
      <c r="C61">
        <v>524468</v>
      </c>
      <c r="D61">
        <v>513830</v>
      </c>
      <c r="E61" t="s">
        <v>36</v>
      </c>
      <c r="F61" t="s">
        <v>36</v>
      </c>
    </row>
    <row r="62" spans="1:6" x14ac:dyDescent="0.25">
      <c r="A62">
        <v>2001</v>
      </c>
      <c r="B62">
        <v>1089472</v>
      </c>
      <c r="C62">
        <v>550393</v>
      </c>
      <c r="D62">
        <v>539079</v>
      </c>
      <c r="E62" t="s">
        <v>37</v>
      </c>
      <c r="F62" t="s">
        <v>37</v>
      </c>
    </row>
    <row r="63" spans="1:6" x14ac:dyDescent="0.25">
      <c r="A63">
        <v>2001</v>
      </c>
      <c r="B63">
        <v>1137730</v>
      </c>
      <c r="C63">
        <v>624374</v>
      </c>
      <c r="D63">
        <v>513356</v>
      </c>
      <c r="E63" t="s">
        <v>38</v>
      </c>
      <c r="F63" t="s">
        <v>38</v>
      </c>
    </row>
    <row r="64" spans="1:6" x14ac:dyDescent="0.25">
      <c r="A64">
        <v>2002</v>
      </c>
      <c r="B64">
        <v>898877</v>
      </c>
      <c r="C64">
        <v>327272</v>
      </c>
      <c r="D64">
        <v>571605</v>
      </c>
      <c r="E64" t="s">
        <v>5</v>
      </c>
      <c r="F64" t="s">
        <v>5</v>
      </c>
    </row>
    <row r="65" spans="1:6" x14ac:dyDescent="0.25">
      <c r="A65">
        <v>2002</v>
      </c>
      <c r="B65">
        <v>1099147</v>
      </c>
      <c r="C65">
        <v>550974</v>
      </c>
      <c r="D65">
        <v>548173</v>
      </c>
      <c r="E65" t="s">
        <v>6</v>
      </c>
      <c r="F65" t="s">
        <v>6</v>
      </c>
    </row>
    <row r="66" spans="1:6" x14ac:dyDescent="0.25">
      <c r="A66">
        <v>2002</v>
      </c>
      <c r="B66">
        <v>1073464</v>
      </c>
      <c r="C66">
        <v>554724</v>
      </c>
      <c r="D66">
        <v>518740</v>
      </c>
      <c r="E66" t="s">
        <v>7</v>
      </c>
      <c r="F66" t="s">
        <v>7</v>
      </c>
    </row>
    <row r="67" spans="1:6" x14ac:dyDescent="0.25">
      <c r="A67">
        <v>2002</v>
      </c>
      <c r="B67">
        <v>1119646</v>
      </c>
      <c r="C67">
        <v>547702</v>
      </c>
      <c r="D67">
        <v>571944</v>
      </c>
      <c r="E67" t="s">
        <v>8</v>
      </c>
      <c r="F67" t="s">
        <v>8</v>
      </c>
    </row>
    <row r="68" spans="1:6" x14ac:dyDescent="0.25">
      <c r="A68">
        <v>2002</v>
      </c>
      <c r="B68">
        <v>1092895</v>
      </c>
      <c r="C68">
        <v>572015</v>
      </c>
      <c r="D68">
        <v>520880</v>
      </c>
      <c r="E68" t="s">
        <v>9</v>
      </c>
      <c r="F68" t="s">
        <v>9</v>
      </c>
    </row>
    <row r="69" spans="1:6" x14ac:dyDescent="0.25">
      <c r="A69">
        <v>2002</v>
      </c>
      <c r="B69">
        <v>1029316</v>
      </c>
      <c r="C69">
        <v>487255</v>
      </c>
      <c r="D69">
        <v>542061</v>
      </c>
      <c r="E69" t="s">
        <v>10</v>
      </c>
      <c r="F69" t="s">
        <v>10</v>
      </c>
    </row>
    <row r="70" spans="1:6" x14ac:dyDescent="0.25">
      <c r="A70">
        <v>2002</v>
      </c>
      <c r="B70">
        <v>934265</v>
      </c>
      <c r="C70">
        <v>422235</v>
      </c>
      <c r="D70">
        <v>512030</v>
      </c>
      <c r="E70" t="s">
        <v>11</v>
      </c>
      <c r="F70" t="s">
        <v>11</v>
      </c>
    </row>
    <row r="71" spans="1:6" x14ac:dyDescent="0.25">
      <c r="A71">
        <v>2002</v>
      </c>
      <c r="B71">
        <v>1110061</v>
      </c>
      <c r="C71">
        <v>586294</v>
      </c>
      <c r="D71">
        <v>523767</v>
      </c>
      <c r="E71" t="s">
        <v>12</v>
      </c>
      <c r="F71" t="s">
        <v>12</v>
      </c>
    </row>
    <row r="72" spans="1:6" x14ac:dyDescent="0.25">
      <c r="A72">
        <v>2002</v>
      </c>
      <c r="B72">
        <v>1047411</v>
      </c>
      <c r="C72">
        <v>504717</v>
      </c>
      <c r="D72">
        <v>542694</v>
      </c>
      <c r="E72" t="s">
        <v>13</v>
      </c>
      <c r="F72" t="s">
        <v>13</v>
      </c>
    </row>
    <row r="73" spans="1:6" x14ac:dyDescent="0.25">
      <c r="A73">
        <v>2002</v>
      </c>
      <c r="B73">
        <v>1161974</v>
      </c>
      <c r="C73">
        <v>604904</v>
      </c>
      <c r="D73">
        <v>557070</v>
      </c>
      <c r="E73" t="s">
        <v>14</v>
      </c>
      <c r="F73" t="s">
        <v>14</v>
      </c>
    </row>
    <row r="74" spans="1:6" x14ac:dyDescent="0.25">
      <c r="A74">
        <v>2002</v>
      </c>
      <c r="B74">
        <v>994267</v>
      </c>
      <c r="C74">
        <v>489742</v>
      </c>
      <c r="D74">
        <v>504525</v>
      </c>
      <c r="E74" t="s">
        <v>15</v>
      </c>
      <c r="F74" t="s">
        <v>15</v>
      </c>
    </row>
    <row r="75" spans="1:6" x14ac:dyDescent="0.25">
      <c r="A75">
        <v>2002</v>
      </c>
      <c r="B75">
        <v>1046418</v>
      </c>
      <c r="C75">
        <v>508788</v>
      </c>
      <c r="D75">
        <v>537630</v>
      </c>
      <c r="E75" t="s">
        <v>16</v>
      </c>
      <c r="F75" t="s">
        <v>16</v>
      </c>
    </row>
    <row r="76" spans="1:6" x14ac:dyDescent="0.25">
      <c r="A76">
        <v>2002</v>
      </c>
      <c r="B76">
        <v>1061722</v>
      </c>
      <c r="C76">
        <v>559322</v>
      </c>
      <c r="D76">
        <v>502400</v>
      </c>
      <c r="E76" t="s">
        <v>39</v>
      </c>
      <c r="F76" t="s">
        <v>39</v>
      </c>
    </row>
    <row r="77" spans="1:6" x14ac:dyDescent="0.25">
      <c r="A77">
        <v>2002</v>
      </c>
      <c r="B77">
        <v>1004762</v>
      </c>
      <c r="C77">
        <v>453357</v>
      </c>
      <c r="D77">
        <v>551405</v>
      </c>
      <c r="E77" t="s">
        <v>17</v>
      </c>
      <c r="F77" t="s">
        <v>17</v>
      </c>
    </row>
    <row r="78" spans="1:6" x14ac:dyDescent="0.25">
      <c r="A78">
        <v>2002</v>
      </c>
      <c r="B78">
        <v>975226</v>
      </c>
      <c r="C78">
        <v>450216</v>
      </c>
      <c r="D78">
        <v>525010</v>
      </c>
      <c r="E78" t="s">
        <v>18</v>
      </c>
      <c r="F78" t="s">
        <v>18</v>
      </c>
    </row>
    <row r="79" spans="1:6" x14ac:dyDescent="0.25">
      <c r="A79">
        <v>2002</v>
      </c>
      <c r="B79">
        <v>1166177</v>
      </c>
      <c r="C79">
        <v>625503</v>
      </c>
      <c r="D79">
        <v>540674</v>
      </c>
      <c r="E79" t="s">
        <v>19</v>
      </c>
      <c r="F79" t="s">
        <v>19</v>
      </c>
    </row>
    <row r="80" spans="1:6" x14ac:dyDescent="0.25">
      <c r="A80">
        <v>2002</v>
      </c>
      <c r="B80">
        <v>1144504</v>
      </c>
      <c r="C80">
        <v>585523</v>
      </c>
      <c r="D80">
        <v>558981</v>
      </c>
      <c r="E80" t="s">
        <v>20</v>
      </c>
      <c r="F80" t="s">
        <v>20</v>
      </c>
    </row>
    <row r="81" spans="1:6" x14ac:dyDescent="0.25">
      <c r="A81">
        <v>2002</v>
      </c>
      <c r="B81">
        <v>1045728</v>
      </c>
      <c r="C81">
        <v>512517</v>
      </c>
      <c r="D81">
        <v>533211</v>
      </c>
      <c r="E81" t="s">
        <v>21</v>
      </c>
      <c r="F81" t="s">
        <v>21</v>
      </c>
    </row>
    <row r="82" spans="1:6" x14ac:dyDescent="0.25">
      <c r="A82">
        <v>2002</v>
      </c>
      <c r="B82">
        <v>1096069</v>
      </c>
      <c r="C82">
        <v>547488</v>
      </c>
      <c r="D82">
        <v>548581</v>
      </c>
      <c r="E82" t="s">
        <v>22</v>
      </c>
      <c r="F82" t="s">
        <v>22</v>
      </c>
    </row>
    <row r="83" spans="1:6" x14ac:dyDescent="0.25">
      <c r="A83">
        <v>2002</v>
      </c>
      <c r="B83">
        <v>1068183</v>
      </c>
      <c r="C83">
        <v>542796</v>
      </c>
      <c r="D83">
        <v>525387</v>
      </c>
      <c r="E83" t="s">
        <v>23</v>
      </c>
      <c r="F83" t="s">
        <v>23</v>
      </c>
    </row>
    <row r="84" spans="1:6" x14ac:dyDescent="0.25">
      <c r="A84">
        <v>2002</v>
      </c>
      <c r="B84">
        <v>1123668</v>
      </c>
      <c r="C84">
        <v>629211</v>
      </c>
      <c r="D84">
        <v>494457</v>
      </c>
      <c r="E84" t="s">
        <v>24</v>
      </c>
      <c r="F84" t="s">
        <v>24</v>
      </c>
    </row>
    <row r="85" spans="1:6" x14ac:dyDescent="0.25">
      <c r="A85">
        <v>2002</v>
      </c>
      <c r="B85">
        <v>1145070</v>
      </c>
      <c r="C85">
        <v>628812</v>
      </c>
      <c r="D85">
        <v>516258</v>
      </c>
      <c r="E85" t="s">
        <v>25</v>
      </c>
      <c r="F85" t="s">
        <v>25</v>
      </c>
    </row>
    <row r="86" spans="1:6" x14ac:dyDescent="0.25">
      <c r="A86">
        <v>2002</v>
      </c>
      <c r="B86">
        <v>1042142</v>
      </c>
      <c r="C86">
        <v>485092</v>
      </c>
      <c r="D86">
        <v>557050</v>
      </c>
      <c r="E86" t="s">
        <v>26</v>
      </c>
      <c r="F86" t="s">
        <v>27</v>
      </c>
    </row>
    <row r="87" spans="1:6" x14ac:dyDescent="0.25">
      <c r="A87">
        <v>2002</v>
      </c>
      <c r="B87">
        <v>1066147</v>
      </c>
      <c r="C87">
        <v>523535</v>
      </c>
      <c r="D87">
        <v>542612</v>
      </c>
      <c r="E87" t="s">
        <v>28</v>
      </c>
      <c r="F87" t="s">
        <v>28</v>
      </c>
    </row>
    <row r="88" spans="1:6" x14ac:dyDescent="0.25">
      <c r="A88">
        <v>2002</v>
      </c>
      <c r="B88">
        <v>1023448</v>
      </c>
      <c r="C88">
        <v>490274</v>
      </c>
      <c r="D88">
        <v>533174</v>
      </c>
      <c r="E88" t="s">
        <v>29</v>
      </c>
      <c r="F88" t="s">
        <v>29</v>
      </c>
    </row>
    <row r="89" spans="1:6" x14ac:dyDescent="0.25">
      <c r="A89">
        <v>2002</v>
      </c>
      <c r="B89">
        <v>992665</v>
      </c>
      <c r="C89">
        <v>494973</v>
      </c>
      <c r="D89">
        <v>497692</v>
      </c>
      <c r="E89" t="s">
        <v>30</v>
      </c>
      <c r="F89" t="s">
        <v>31</v>
      </c>
    </row>
    <row r="90" spans="1:6" x14ac:dyDescent="0.25">
      <c r="A90">
        <v>2002</v>
      </c>
      <c r="B90">
        <v>1058751</v>
      </c>
      <c r="C90">
        <v>541593</v>
      </c>
      <c r="D90">
        <v>517158</v>
      </c>
      <c r="E90" t="s">
        <v>32</v>
      </c>
      <c r="F90" t="s">
        <v>32</v>
      </c>
    </row>
    <row r="91" spans="1:6" x14ac:dyDescent="0.25">
      <c r="A91">
        <v>2002</v>
      </c>
      <c r="B91">
        <v>984773</v>
      </c>
      <c r="C91">
        <v>504621</v>
      </c>
      <c r="D91">
        <v>480152</v>
      </c>
      <c r="E91" t="s">
        <v>33</v>
      </c>
      <c r="F91" t="s">
        <v>33</v>
      </c>
    </row>
    <row r="92" spans="1:6" x14ac:dyDescent="0.25">
      <c r="A92">
        <v>2002</v>
      </c>
      <c r="B92">
        <v>1073461</v>
      </c>
      <c r="C92">
        <v>528498</v>
      </c>
      <c r="D92">
        <v>544963</v>
      </c>
      <c r="E92" t="s">
        <v>34</v>
      </c>
      <c r="F92" t="s">
        <v>35</v>
      </c>
    </row>
    <row r="93" spans="1:6" x14ac:dyDescent="0.25">
      <c r="A93">
        <v>2002</v>
      </c>
      <c r="B93">
        <v>1044920</v>
      </c>
      <c r="C93">
        <v>525031</v>
      </c>
      <c r="D93">
        <v>519889</v>
      </c>
      <c r="E93" t="s">
        <v>36</v>
      </c>
      <c r="F93" t="s">
        <v>36</v>
      </c>
    </row>
    <row r="94" spans="1:6" x14ac:dyDescent="0.25">
      <c r="A94">
        <v>2002</v>
      </c>
      <c r="B94">
        <v>1050989</v>
      </c>
      <c r="C94">
        <v>550437</v>
      </c>
      <c r="D94">
        <v>500552</v>
      </c>
      <c r="E94" t="s">
        <v>37</v>
      </c>
      <c r="F94" t="s">
        <v>37</v>
      </c>
    </row>
    <row r="95" spans="1:6" x14ac:dyDescent="0.25">
      <c r="A95">
        <v>2002</v>
      </c>
      <c r="B95">
        <v>1182596</v>
      </c>
      <c r="C95">
        <v>643950</v>
      </c>
      <c r="D95">
        <v>538646</v>
      </c>
      <c r="E95" t="s">
        <v>38</v>
      </c>
      <c r="F95" t="s">
        <v>38</v>
      </c>
    </row>
    <row r="96" spans="1:6" x14ac:dyDescent="0.25">
      <c r="A96">
        <v>2003</v>
      </c>
      <c r="B96">
        <v>804401</v>
      </c>
      <c r="C96">
        <v>288499</v>
      </c>
      <c r="D96">
        <v>515902</v>
      </c>
      <c r="E96" t="s">
        <v>5</v>
      </c>
      <c r="F96" t="s">
        <v>5</v>
      </c>
    </row>
    <row r="97" spans="1:6" x14ac:dyDescent="0.25">
      <c r="A97">
        <v>2003</v>
      </c>
      <c r="B97">
        <v>1106928</v>
      </c>
      <c r="C97">
        <v>563676</v>
      </c>
      <c r="D97">
        <v>543252</v>
      </c>
      <c r="E97" t="s">
        <v>6</v>
      </c>
      <c r="F97" t="s">
        <v>6</v>
      </c>
    </row>
    <row r="98" spans="1:6" x14ac:dyDescent="0.25">
      <c r="A98">
        <v>2003</v>
      </c>
      <c r="B98">
        <v>1006929</v>
      </c>
      <c r="C98">
        <v>556634</v>
      </c>
      <c r="D98">
        <v>450295</v>
      </c>
      <c r="E98" t="s">
        <v>7</v>
      </c>
      <c r="F98" t="s">
        <v>7</v>
      </c>
    </row>
    <row r="99" spans="1:6" x14ac:dyDescent="0.25">
      <c r="A99">
        <v>2003</v>
      </c>
      <c r="B99">
        <v>1152118</v>
      </c>
      <c r="C99">
        <v>584122</v>
      </c>
      <c r="D99">
        <v>567996</v>
      </c>
      <c r="E99" t="s">
        <v>8</v>
      </c>
      <c r="F99" t="s">
        <v>8</v>
      </c>
    </row>
    <row r="100" spans="1:6" x14ac:dyDescent="0.25">
      <c r="A100">
        <v>2003</v>
      </c>
      <c r="B100">
        <v>1078988</v>
      </c>
      <c r="C100">
        <v>582566</v>
      </c>
      <c r="D100">
        <v>496422</v>
      </c>
      <c r="E100" t="s">
        <v>9</v>
      </c>
      <c r="F100" t="s">
        <v>9</v>
      </c>
    </row>
    <row r="101" spans="1:6" x14ac:dyDescent="0.25">
      <c r="A101">
        <v>2003</v>
      </c>
      <c r="B101">
        <v>1031247</v>
      </c>
      <c r="C101">
        <v>479585</v>
      </c>
      <c r="D101">
        <v>551662</v>
      </c>
      <c r="E101" t="s">
        <v>10</v>
      </c>
      <c r="F101" t="s">
        <v>10</v>
      </c>
    </row>
    <row r="102" spans="1:6" x14ac:dyDescent="0.25">
      <c r="A102">
        <v>2003</v>
      </c>
      <c r="B102">
        <v>945592</v>
      </c>
      <c r="C102">
        <v>479488</v>
      </c>
      <c r="D102">
        <v>466104</v>
      </c>
      <c r="E102" t="s">
        <v>11</v>
      </c>
      <c r="F102" t="s">
        <v>11</v>
      </c>
    </row>
    <row r="103" spans="1:6" x14ac:dyDescent="0.25">
      <c r="A103">
        <v>2003</v>
      </c>
      <c r="B103">
        <v>1139440</v>
      </c>
      <c r="C103">
        <v>585564</v>
      </c>
      <c r="D103">
        <v>553876</v>
      </c>
      <c r="E103" t="s">
        <v>12</v>
      </c>
      <c r="F103" t="s">
        <v>12</v>
      </c>
    </row>
    <row r="104" spans="1:6" x14ac:dyDescent="0.25">
      <c r="A104">
        <v>2003</v>
      </c>
      <c r="B104">
        <v>1071700</v>
      </c>
      <c r="C104">
        <v>511224</v>
      </c>
      <c r="D104">
        <v>560476</v>
      </c>
      <c r="E104" t="s">
        <v>13</v>
      </c>
      <c r="F104" t="s">
        <v>13</v>
      </c>
    </row>
    <row r="105" spans="1:6" x14ac:dyDescent="0.25">
      <c r="A105">
        <v>2003</v>
      </c>
      <c r="B105">
        <v>1134086</v>
      </c>
      <c r="C105">
        <v>607167</v>
      </c>
      <c r="D105">
        <v>526919</v>
      </c>
      <c r="E105" t="s">
        <v>14</v>
      </c>
      <c r="F105" t="s">
        <v>14</v>
      </c>
    </row>
    <row r="106" spans="1:6" x14ac:dyDescent="0.25">
      <c r="A106">
        <v>2003</v>
      </c>
      <c r="B106">
        <v>1045766</v>
      </c>
      <c r="C106">
        <v>490442</v>
      </c>
      <c r="D106">
        <v>555324</v>
      </c>
      <c r="E106" t="s">
        <v>15</v>
      </c>
      <c r="F106" t="s">
        <v>15</v>
      </c>
    </row>
    <row r="107" spans="1:6" x14ac:dyDescent="0.25">
      <c r="A107">
        <v>2003</v>
      </c>
      <c r="B107">
        <v>1067556</v>
      </c>
      <c r="C107">
        <v>562819</v>
      </c>
      <c r="D107">
        <v>504737</v>
      </c>
      <c r="E107" t="s">
        <v>16</v>
      </c>
      <c r="F107" t="s">
        <v>16</v>
      </c>
    </row>
    <row r="108" spans="1:6" x14ac:dyDescent="0.25">
      <c r="A108">
        <v>2003</v>
      </c>
      <c r="B108">
        <v>1061690</v>
      </c>
      <c r="C108">
        <v>563748</v>
      </c>
      <c r="D108">
        <v>497942</v>
      </c>
      <c r="E108" t="s">
        <v>39</v>
      </c>
      <c r="F108" t="s">
        <v>39</v>
      </c>
    </row>
    <row r="109" spans="1:6" x14ac:dyDescent="0.25">
      <c r="A109">
        <v>2003</v>
      </c>
      <c r="B109">
        <v>993951</v>
      </c>
      <c r="C109">
        <v>454138</v>
      </c>
      <c r="D109">
        <v>539813</v>
      </c>
      <c r="E109" t="s">
        <v>17</v>
      </c>
      <c r="F109" t="s">
        <v>17</v>
      </c>
    </row>
    <row r="110" spans="1:6" x14ac:dyDescent="0.25">
      <c r="A110">
        <v>2003</v>
      </c>
      <c r="B110">
        <v>980628</v>
      </c>
      <c r="C110">
        <v>428072</v>
      </c>
      <c r="D110">
        <v>552556</v>
      </c>
      <c r="E110" t="s">
        <v>18</v>
      </c>
      <c r="F110" t="s">
        <v>18</v>
      </c>
    </row>
    <row r="111" spans="1:6" x14ac:dyDescent="0.25">
      <c r="A111">
        <v>2003</v>
      </c>
      <c r="B111">
        <v>1163872</v>
      </c>
      <c r="C111">
        <v>627840</v>
      </c>
      <c r="D111">
        <v>536032</v>
      </c>
      <c r="E111" t="s">
        <v>19</v>
      </c>
      <c r="F111" t="s">
        <v>19</v>
      </c>
    </row>
    <row r="112" spans="1:6" x14ac:dyDescent="0.25">
      <c r="A112">
        <v>2003</v>
      </c>
      <c r="B112">
        <v>1158236</v>
      </c>
      <c r="C112">
        <v>587787</v>
      </c>
      <c r="D112">
        <v>570449</v>
      </c>
      <c r="E112" t="s">
        <v>20</v>
      </c>
      <c r="F112" t="s">
        <v>20</v>
      </c>
    </row>
    <row r="113" spans="1:6" x14ac:dyDescent="0.25">
      <c r="A113">
        <v>2003</v>
      </c>
      <c r="B113">
        <v>1017297</v>
      </c>
      <c r="C113">
        <v>513437</v>
      </c>
      <c r="D113">
        <v>503860</v>
      </c>
      <c r="E113" t="s">
        <v>21</v>
      </c>
      <c r="F113" t="s">
        <v>21</v>
      </c>
    </row>
    <row r="114" spans="1:6" x14ac:dyDescent="0.25">
      <c r="A114">
        <v>2003</v>
      </c>
      <c r="B114">
        <v>1127515</v>
      </c>
      <c r="C114">
        <v>547488</v>
      </c>
      <c r="D114">
        <v>580027</v>
      </c>
      <c r="E114" t="s">
        <v>22</v>
      </c>
      <c r="F114" t="s">
        <v>22</v>
      </c>
    </row>
    <row r="115" spans="1:6" x14ac:dyDescent="0.25">
      <c r="A115">
        <v>2003</v>
      </c>
      <c r="B115">
        <v>1072640</v>
      </c>
      <c r="C115">
        <v>548894</v>
      </c>
      <c r="D115">
        <v>523746</v>
      </c>
      <c r="E115" t="s">
        <v>23</v>
      </c>
      <c r="F115" t="s">
        <v>23</v>
      </c>
    </row>
    <row r="116" spans="1:6" x14ac:dyDescent="0.25">
      <c r="A116">
        <v>2003</v>
      </c>
      <c r="B116">
        <v>1190530</v>
      </c>
      <c r="C116">
        <v>628960</v>
      </c>
      <c r="D116">
        <v>561570</v>
      </c>
      <c r="E116" t="s">
        <v>24</v>
      </c>
      <c r="F116" t="s">
        <v>24</v>
      </c>
    </row>
    <row r="117" spans="1:6" x14ac:dyDescent="0.25">
      <c r="A117">
        <v>2003</v>
      </c>
      <c r="B117">
        <v>1169808</v>
      </c>
      <c r="C117">
        <v>622255</v>
      </c>
      <c r="D117">
        <v>547553</v>
      </c>
      <c r="E117" t="s">
        <v>25</v>
      </c>
      <c r="F117" t="s">
        <v>25</v>
      </c>
    </row>
    <row r="118" spans="1:6" x14ac:dyDescent="0.25">
      <c r="A118">
        <v>2003</v>
      </c>
      <c r="B118">
        <v>975793</v>
      </c>
      <c r="C118">
        <v>440063</v>
      </c>
      <c r="D118">
        <v>535730</v>
      </c>
      <c r="E118" t="s">
        <v>26</v>
      </c>
      <c r="F118" t="s">
        <v>27</v>
      </c>
    </row>
    <row r="119" spans="1:6" x14ac:dyDescent="0.25">
      <c r="A119">
        <v>2003</v>
      </c>
      <c r="B119">
        <v>1124063</v>
      </c>
      <c r="C119">
        <v>544349</v>
      </c>
      <c r="D119">
        <v>579714</v>
      </c>
      <c r="E119" t="s">
        <v>28</v>
      </c>
      <c r="F119" t="s">
        <v>28</v>
      </c>
    </row>
    <row r="120" spans="1:6" x14ac:dyDescent="0.25">
      <c r="A120">
        <v>2003</v>
      </c>
      <c r="B120">
        <v>1052513</v>
      </c>
      <c r="C120">
        <v>477584</v>
      </c>
      <c r="D120">
        <v>574929</v>
      </c>
      <c r="E120" t="s">
        <v>29</v>
      </c>
      <c r="F120" t="s">
        <v>29</v>
      </c>
    </row>
    <row r="121" spans="1:6" x14ac:dyDescent="0.25">
      <c r="A121">
        <v>2003</v>
      </c>
      <c r="B121">
        <v>997271</v>
      </c>
      <c r="C121">
        <v>492165</v>
      </c>
      <c r="D121">
        <v>505106</v>
      </c>
      <c r="E121" t="s">
        <v>30</v>
      </c>
      <c r="F121" t="s">
        <v>31</v>
      </c>
    </row>
    <row r="122" spans="1:6" x14ac:dyDescent="0.25">
      <c r="A122">
        <v>2003</v>
      </c>
      <c r="B122">
        <v>1050337</v>
      </c>
      <c r="C122">
        <v>540644</v>
      </c>
      <c r="D122">
        <v>509693</v>
      </c>
      <c r="E122" t="s">
        <v>32</v>
      </c>
      <c r="F122" t="s">
        <v>32</v>
      </c>
    </row>
    <row r="123" spans="1:6" x14ac:dyDescent="0.25">
      <c r="A123">
        <v>2003</v>
      </c>
      <c r="B123">
        <v>1005938</v>
      </c>
      <c r="C123">
        <v>512150</v>
      </c>
      <c r="D123">
        <v>493788</v>
      </c>
      <c r="E123" t="s">
        <v>33</v>
      </c>
      <c r="F123" t="s">
        <v>33</v>
      </c>
    </row>
    <row r="124" spans="1:6" x14ac:dyDescent="0.25">
      <c r="A124">
        <v>2003</v>
      </c>
      <c r="B124">
        <v>1041463</v>
      </c>
      <c r="C124">
        <v>528456</v>
      </c>
      <c r="D124">
        <v>513007</v>
      </c>
      <c r="E124" t="s">
        <v>34</v>
      </c>
      <c r="F124" t="s">
        <v>35</v>
      </c>
    </row>
    <row r="125" spans="1:6" x14ac:dyDescent="0.25">
      <c r="A125">
        <v>2003</v>
      </c>
      <c r="B125">
        <v>1087333</v>
      </c>
      <c r="C125">
        <v>524352</v>
      </c>
      <c r="D125">
        <v>562981</v>
      </c>
      <c r="E125" t="s">
        <v>36</v>
      </c>
      <c r="F125" t="s">
        <v>36</v>
      </c>
    </row>
    <row r="126" spans="1:6" x14ac:dyDescent="0.25">
      <c r="A126">
        <v>2003</v>
      </c>
      <c r="B126">
        <v>1087279</v>
      </c>
      <c r="C126">
        <v>550472</v>
      </c>
      <c r="D126">
        <v>536807</v>
      </c>
      <c r="E126" t="s">
        <v>37</v>
      </c>
      <c r="F126" t="s">
        <v>37</v>
      </c>
    </row>
    <row r="127" spans="1:6" x14ac:dyDescent="0.25">
      <c r="A127">
        <v>2003</v>
      </c>
      <c r="B127">
        <v>1194366</v>
      </c>
      <c r="C127">
        <v>643997</v>
      </c>
      <c r="D127">
        <v>550369</v>
      </c>
      <c r="E127" t="s">
        <v>38</v>
      </c>
      <c r="F127" t="s">
        <v>38</v>
      </c>
    </row>
    <row r="128" spans="1:6" x14ac:dyDescent="0.25">
      <c r="A128">
        <v>2004</v>
      </c>
      <c r="B128">
        <v>838557</v>
      </c>
      <c r="C128">
        <v>300267</v>
      </c>
      <c r="D128">
        <v>538290</v>
      </c>
      <c r="E128" t="s">
        <v>5</v>
      </c>
      <c r="F128" t="s">
        <v>5</v>
      </c>
    </row>
    <row r="129" spans="1:6" x14ac:dyDescent="0.25">
      <c r="A129">
        <v>2004</v>
      </c>
      <c r="B129">
        <v>1133146</v>
      </c>
      <c r="C129">
        <v>564769</v>
      </c>
      <c r="D129">
        <v>568377</v>
      </c>
      <c r="E129" t="s">
        <v>6</v>
      </c>
      <c r="F129" t="s">
        <v>6</v>
      </c>
    </row>
    <row r="130" spans="1:6" x14ac:dyDescent="0.25">
      <c r="A130">
        <v>2004</v>
      </c>
      <c r="B130">
        <v>1123288</v>
      </c>
      <c r="C130">
        <v>558594</v>
      </c>
      <c r="D130">
        <v>564694</v>
      </c>
      <c r="E130" t="s">
        <v>7</v>
      </c>
      <c r="F130" t="s">
        <v>7</v>
      </c>
    </row>
    <row r="131" spans="1:6" x14ac:dyDescent="0.25">
      <c r="A131">
        <v>2004</v>
      </c>
      <c r="B131">
        <v>1112531</v>
      </c>
      <c r="C131">
        <v>574399</v>
      </c>
      <c r="D131">
        <v>538132</v>
      </c>
      <c r="E131" t="s">
        <v>8</v>
      </c>
      <c r="F131" t="s">
        <v>8</v>
      </c>
    </row>
    <row r="132" spans="1:6" x14ac:dyDescent="0.25">
      <c r="A132">
        <v>2004</v>
      </c>
      <c r="B132">
        <v>1132109</v>
      </c>
      <c r="C132">
        <v>586259</v>
      </c>
      <c r="D132">
        <v>545850</v>
      </c>
      <c r="E132" t="s">
        <v>9</v>
      </c>
      <c r="F132" t="s">
        <v>9</v>
      </c>
    </row>
    <row r="133" spans="1:6" x14ac:dyDescent="0.25">
      <c r="A133">
        <v>2004</v>
      </c>
      <c r="B133">
        <v>1037347</v>
      </c>
      <c r="C133">
        <v>495706</v>
      </c>
      <c r="D133">
        <v>541641</v>
      </c>
      <c r="E133" t="s">
        <v>10</v>
      </c>
      <c r="F133" t="s">
        <v>10</v>
      </c>
    </row>
    <row r="134" spans="1:6" x14ac:dyDescent="0.25">
      <c r="A134">
        <v>2004</v>
      </c>
      <c r="B134">
        <v>1099386</v>
      </c>
      <c r="C134">
        <v>524248</v>
      </c>
      <c r="D134">
        <v>575138</v>
      </c>
      <c r="E134" t="s">
        <v>11</v>
      </c>
      <c r="F134" t="s">
        <v>11</v>
      </c>
    </row>
    <row r="135" spans="1:6" x14ac:dyDescent="0.25">
      <c r="A135">
        <v>2004</v>
      </c>
      <c r="B135">
        <v>1141770</v>
      </c>
      <c r="C135">
        <v>584840</v>
      </c>
      <c r="D135">
        <v>556930</v>
      </c>
      <c r="E135" t="s">
        <v>12</v>
      </c>
      <c r="F135" t="s">
        <v>12</v>
      </c>
    </row>
    <row r="136" spans="1:6" x14ac:dyDescent="0.25">
      <c r="A136">
        <v>2004</v>
      </c>
      <c r="B136">
        <v>1086004</v>
      </c>
      <c r="C136">
        <v>510892</v>
      </c>
      <c r="D136">
        <v>575112</v>
      </c>
      <c r="E136" t="s">
        <v>13</v>
      </c>
      <c r="F136" t="s">
        <v>13</v>
      </c>
    </row>
    <row r="137" spans="1:6" x14ac:dyDescent="0.25">
      <c r="A137">
        <v>2004</v>
      </c>
      <c r="B137">
        <v>1140618</v>
      </c>
      <c r="C137">
        <v>601031</v>
      </c>
      <c r="D137">
        <v>539587</v>
      </c>
      <c r="E137" t="s">
        <v>14</v>
      </c>
      <c r="F137" t="s">
        <v>14</v>
      </c>
    </row>
    <row r="138" spans="1:6" x14ac:dyDescent="0.25">
      <c r="A138">
        <v>2004</v>
      </c>
      <c r="B138">
        <v>1043481</v>
      </c>
      <c r="C138">
        <v>499162</v>
      </c>
      <c r="D138">
        <v>544319</v>
      </c>
      <c r="E138" t="s">
        <v>15</v>
      </c>
      <c r="F138" t="s">
        <v>15</v>
      </c>
    </row>
    <row r="139" spans="1:6" x14ac:dyDescent="0.25">
      <c r="A139">
        <v>2004</v>
      </c>
      <c r="B139">
        <v>1112569</v>
      </c>
      <c r="C139">
        <v>564400</v>
      </c>
      <c r="D139">
        <v>548169</v>
      </c>
      <c r="E139" t="s">
        <v>16</v>
      </c>
      <c r="F139" t="s">
        <v>16</v>
      </c>
    </row>
    <row r="140" spans="1:6" x14ac:dyDescent="0.25">
      <c r="A140">
        <v>2004</v>
      </c>
      <c r="B140">
        <v>1110049</v>
      </c>
      <c r="C140">
        <v>565192</v>
      </c>
      <c r="D140">
        <v>544857</v>
      </c>
      <c r="E140" t="s">
        <v>39</v>
      </c>
      <c r="F140" t="s">
        <v>39</v>
      </c>
    </row>
    <row r="141" spans="1:6" x14ac:dyDescent="0.25">
      <c r="A141">
        <v>2004</v>
      </c>
      <c r="B141">
        <v>1016831</v>
      </c>
      <c r="C141">
        <v>456791</v>
      </c>
      <c r="D141">
        <v>560040</v>
      </c>
      <c r="E141" t="s">
        <v>17</v>
      </c>
      <c r="F141" t="s">
        <v>17</v>
      </c>
    </row>
    <row r="142" spans="1:6" x14ac:dyDescent="0.25">
      <c r="A142">
        <v>2004</v>
      </c>
      <c r="B142">
        <v>1051556</v>
      </c>
      <c r="C142">
        <v>555464</v>
      </c>
      <c r="D142">
        <v>496092</v>
      </c>
      <c r="E142" t="s">
        <v>18</v>
      </c>
      <c r="F142" t="s">
        <v>18</v>
      </c>
    </row>
    <row r="143" spans="1:6" x14ac:dyDescent="0.25">
      <c r="A143">
        <v>2004</v>
      </c>
      <c r="B143">
        <v>1150728</v>
      </c>
      <c r="C143">
        <v>623010</v>
      </c>
      <c r="D143">
        <v>527718</v>
      </c>
      <c r="E143" t="s">
        <v>19</v>
      </c>
      <c r="F143" t="s">
        <v>19</v>
      </c>
    </row>
    <row r="144" spans="1:6" x14ac:dyDescent="0.25">
      <c r="A144">
        <v>2004</v>
      </c>
      <c r="B144">
        <v>1143869</v>
      </c>
      <c r="C144">
        <v>580808</v>
      </c>
      <c r="D144">
        <v>563061</v>
      </c>
      <c r="E144" t="s">
        <v>20</v>
      </c>
      <c r="F144" t="s">
        <v>20</v>
      </c>
    </row>
    <row r="145" spans="1:6" x14ac:dyDescent="0.25">
      <c r="A145">
        <v>2004</v>
      </c>
      <c r="B145">
        <v>1045505</v>
      </c>
      <c r="C145">
        <v>512969</v>
      </c>
      <c r="D145">
        <v>532536</v>
      </c>
      <c r="E145" t="s">
        <v>21</v>
      </c>
      <c r="F145" t="s">
        <v>21</v>
      </c>
    </row>
    <row r="146" spans="1:6" x14ac:dyDescent="0.25">
      <c r="A146">
        <v>2004</v>
      </c>
      <c r="B146">
        <v>1108210</v>
      </c>
      <c r="C146">
        <v>550048</v>
      </c>
      <c r="D146">
        <v>558162</v>
      </c>
      <c r="E146" t="s">
        <v>22</v>
      </c>
      <c r="F146" t="s">
        <v>22</v>
      </c>
    </row>
    <row r="147" spans="1:6" x14ac:dyDescent="0.25">
      <c r="A147">
        <v>2004</v>
      </c>
      <c r="B147">
        <v>985096</v>
      </c>
      <c r="C147">
        <v>513178</v>
      </c>
      <c r="D147">
        <v>471918</v>
      </c>
      <c r="E147" t="s">
        <v>23</v>
      </c>
      <c r="F147" t="s">
        <v>23</v>
      </c>
    </row>
    <row r="148" spans="1:6" x14ac:dyDescent="0.25">
      <c r="A148">
        <v>2004</v>
      </c>
      <c r="B148">
        <v>1160690</v>
      </c>
      <c r="C148">
        <v>629874</v>
      </c>
      <c r="D148">
        <v>530816</v>
      </c>
      <c r="E148" t="s">
        <v>24</v>
      </c>
      <c r="F148" t="s">
        <v>24</v>
      </c>
    </row>
    <row r="149" spans="1:6" x14ac:dyDescent="0.25">
      <c r="A149">
        <v>2004</v>
      </c>
      <c r="B149">
        <v>1132803</v>
      </c>
      <c r="C149">
        <v>623181</v>
      </c>
      <c r="D149">
        <v>509622</v>
      </c>
      <c r="E149" t="s">
        <v>25</v>
      </c>
      <c r="F149" t="s">
        <v>25</v>
      </c>
    </row>
    <row r="150" spans="1:6" x14ac:dyDescent="0.25">
      <c r="A150">
        <v>2004</v>
      </c>
      <c r="B150">
        <v>957623</v>
      </c>
      <c r="C150">
        <v>405936</v>
      </c>
      <c r="D150">
        <v>551687</v>
      </c>
      <c r="E150" t="s">
        <v>26</v>
      </c>
      <c r="F150" t="s">
        <v>27</v>
      </c>
    </row>
    <row r="151" spans="1:6" x14ac:dyDescent="0.25">
      <c r="A151">
        <v>2004</v>
      </c>
      <c r="B151">
        <v>1102843</v>
      </c>
      <c r="C151">
        <v>540870</v>
      </c>
      <c r="D151">
        <v>561973</v>
      </c>
      <c r="E151" t="s">
        <v>28</v>
      </c>
      <c r="F151" t="s">
        <v>28</v>
      </c>
    </row>
    <row r="152" spans="1:6" x14ac:dyDescent="0.25">
      <c r="A152">
        <v>2004</v>
      </c>
      <c r="B152">
        <v>1082241</v>
      </c>
      <c r="C152">
        <v>507385</v>
      </c>
      <c r="D152">
        <v>574856</v>
      </c>
      <c r="E152" t="s">
        <v>29</v>
      </c>
      <c r="F152" t="s">
        <v>29</v>
      </c>
    </row>
    <row r="153" spans="1:6" x14ac:dyDescent="0.25">
      <c r="A153">
        <v>2004</v>
      </c>
      <c r="B153">
        <v>1027704</v>
      </c>
      <c r="C153">
        <v>485462</v>
      </c>
      <c r="D153">
        <v>542242</v>
      </c>
      <c r="E153" t="s">
        <v>30</v>
      </c>
      <c r="F153" t="s">
        <v>31</v>
      </c>
    </row>
    <row r="154" spans="1:6" x14ac:dyDescent="0.25">
      <c r="A154">
        <v>2004</v>
      </c>
      <c r="B154">
        <v>1024975</v>
      </c>
      <c r="C154">
        <v>518271</v>
      </c>
      <c r="D154">
        <v>506704</v>
      </c>
      <c r="E154" t="s">
        <v>32</v>
      </c>
      <c r="F154" t="s">
        <v>32</v>
      </c>
    </row>
    <row r="155" spans="1:6" x14ac:dyDescent="0.25">
      <c r="A155">
        <v>2004</v>
      </c>
      <c r="B155">
        <v>1040347</v>
      </c>
      <c r="C155">
        <v>533436</v>
      </c>
      <c r="D155">
        <v>506911</v>
      </c>
      <c r="E155" t="s">
        <v>33</v>
      </c>
      <c r="F155" t="s">
        <v>33</v>
      </c>
    </row>
    <row r="156" spans="1:6" x14ac:dyDescent="0.25">
      <c r="A156">
        <v>2004</v>
      </c>
      <c r="B156">
        <v>1060941</v>
      </c>
      <c r="C156">
        <v>527384</v>
      </c>
      <c r="D156">
        <v>533557</v>
      </c>
      <c r="E156" t="s">
        <v>34</v>
      </c>
      <c r="F156" t="s">
        <v>35</v>
      </c>
    </row>
    <row r="157" spans="1:6" x14ac:dyDescent="0.25">
      <c r="A157">
        <v>2004</v>
      </c>
      <c r="B157">
        <v>1046074</v>
      </c>
      <c r="C157">
        <v>522720</v>
      </c>
      <c r="D157">
        <v>523354</v>
      </c>
      <c r="E157" t="s">
        <v>36</v>
      </c>
      <c r="F157" t="s">
        <v>36</v>
      </c>
    </row>
    <row r="158" spans="1:6" x14ac:dyDescent="0.25">
      <c r="A158">
        <v>2004</v>
      </c>
      <c r="B158">
        <v>1051732</v>
      </c>
      <c r="C158">
        <v>551210</v>
      </c>
      <c r="D158">
        <v>500522</v>
      </c>
      <c r="E158" t="s">
        <v>37</v>
      </c>
      <c r="F158" t="s">
        <v>37</v>
      </c>
    </row>
    <row r="159" spans="1:6" x14ac:dyDescent="0.25">
      <c r="A159">
        <v>2004</v>
      </c>
      <c r="B159">
        <v>1240229</v>
      </c>
      <c r="C159">
        <v>702670</v>
      </c>
      <c r="D159">
        <v>537559</v>
      </c>
      <c r="E159" t="s">
        <v>38</v>
      </c>
      <c r="F159" t="s">
        <v>38</v>
      </c>
    </row>
    <row r="160" spans="1:6" x14ac:dyDescent="0.25">
      <c r="A160">
        <v>2005</v>
      </c>
      <c r="B160">
        <v>920848</v>
      </c>
      <c r="C160">
        <v>401035</v>
      </c>
      <c r="D160">
        <v>519813</v>
      </c>
      <c r="E160" t="s">
        <v>5</v>
      </c>
      <c r="F160" t="s">
        <v>5</v>
      </c>
    </row>
    <row r="161" spans="1:6" x14ac:dyDescent="0.25">
      <c r="A161">
        <v>2005</v>
      </c>
      <c r="B161">
        <v>1104620</v>
      </c>
      <c r="C161">
        <v>565106</v>
      </c>
      <c r="D161">
        <v>539514</v>
      </c>
      <c r="E161" t="s">
        <v>6</v>
      </c>
      <c r="F161" t="s">
        <v>6</v>
      </c>
    </row>
    <row r="162" spans="1:6" x14ac:dyDescent="0.25">
      <c r="A162">
        <v>2005</v>
      </c>
      <c r="B162">
        <v>1097015</v>
      </c>
      <c r="C162">
        <v>563076</v>
      </c>
      <c r="D162">
        <v>533939</v>
      </c>
      <c r="E162" t="s">
        <v>7</v>
      </c>
      <c r="F162" t="s">
        <v>7</v>
      </c>
    </row>
    <row r="163" spans="1:6" x14ac:dyDescent="0.25">
      <c r="A163">
        <v>2005</v>
      </c>
      <c r="B163">
        <v>1090208</v>
      </c>
      <c r="C163">
        <v>575248</v>
      </c>
      <c r="D163">
        <v>514960</v>
      </c>
      <c r="E163" t="s">
        <v>8</v>
      </c>
      <c r="F163" t="s">
        <v>8</v>
      </c>
    </row>
    <row r="164" spans="1:6" x14ac:dyDescent="0.25">
      <c r="A164">
        <v>2005</v>
      </c>
      <c r="B164">
        <v>1061837</v>
      </c>
      <c r="C164">
        <v>587700</v>
      </c>
      <c r="D164">
        <v>474137</v>
      </c>
      <c r="E164" t="s">
        <v>9</v>
      </c>
      <c r="F164" t="s">
        <v>9</v>
      </c>
    </row>
    <row r="165" spans="1:6" x14ac:dyDescent="0.25">
      <c r="A165">
        <v>2005</v>
      </c>
      <c r="B165">
        <v>1015156</v>
      </c>
      <c r="C165">
        <v>496965</v>
      </c>
      <c r="D165">
        <v>518191</v>
      </c>
      <c r="E165" t="s">
        <v>10</v>
      </c>
      <c r="F165" t="s">
        <v>10</v>
      </c>
    </row>
    <row r="166" spans="1:6" x14ac:dyDescent="0.25">
      <c r="A166">
        <v>2005</v>
      </c>
      <c r="B166">
        <v>1069357</v>
      </c>
      <c r="C166">
        <v>526469</v>
      </c>
      <c r="D166">
        <v>542888</v>
      </c>
      <c r="E166" t="s">
        <v>11</v>
      </c>
      <c r="F166" t="s">
        <v>11</v>
      </c>
    </row>
    <row r="167" spans="1:6" x14ac:dyDescent="0.25">
      <c r="A167">
        <v>2005</v>
      </c>
      <c r="B167">
        <v>1081072</v>
      </c>
      <c r="C167">
        <v>578330</v>
      </c>
      <c r="D167">
        <v>502742</v>
      </c>
      <c r="E167" t="s">
        <v>12</v>
      </c>
      <c r="F167" t="s">
        <v>12</v>
      </c>
    </row>
    <row r="168" spans="1:6" x14ac:dyDescent="0.25">
      <c r="A168">
        <v>2005</v>
      </c>
      <c r="B168">
        <v>1081038</v>
      </c>
      <c r="C168">
        <v>505258</v>
      </c>
      <c r="D168">
        <v>575780</v>
      </c>
      <c r="E168" t="s">
        <v>13</v>
      </c>
      <c r="F168" t="s">
        <v>13</v>
      </c>
    </row>
    <row r="169" spans="1:6" x14ac:dyDescent="0.25">
      <c r="A169">
        <v>2005</v>
      </c>
      <c r="B169">
        <v>1167388</v>
      </c>
      <c r="C169">
        <v>608790</v>
      </c>
      <c r="D169">
        <v>558598</v>
      </c>
      <c r="E169" t="s">
        <v>14</v>
      </c>
      <c r="F169" t="s">
        <v>14</v>
      </c>
    </row>
    <row r="170" spans="1:6" x14ac:dyDescent="0.25">
      <c r="A170">
        <v>2005</v>
      </c>
      <c r="B170">
        <v>1016559</v>
      </c>
      <c r="C170">
        <v>492580</v>
      </c>
      <c r="D170">
        <v>523979</v>
      </c>
      <c r="E170" t="s">
        <v>15</v>
      </c>
      <c r="F170" t="s">
        <v>15</v>
      </c>
    </row>
    <row r="171" spans="1:6" x14ac:dyDescent="0.25">
      <c r="A171">
        <v>2005</v>
      </c>
      <c r="B171">
        <v>1099618</v>
      </c>
      <c r="C171">
        <v>562419</v>
      </c>
      <c r="D171">
        <v>537199</v>
      </c>
      <c r="E171" t="s">
        <v>16</v>
      </c>
      <c r="F171" t="s">
        <v>16</v>
      </c>
    </row>
    <row r="172" spans="1:6" x14ac:dyDescent="0.25">
      <c r="A172">
        <v>2005</v>
      </c>
      <c r="B172">
        <v>1094938</v>
      </c>
      <c r="C172">
        <v>562397</v>
      </c>
      <c r="D172">
        <v>532541</v>
      </c>
      <c r="E172" t="s">
        <v>39</v>
      </c>
      <c r="F172" t="s">
        <v>39</v>
      </c>
    </row>
    <row r="173" spans="1:6" x14ac:dyDescent="0.25">
      <c r="A173">
        <v>2005</v>
      </c>
      <c r="B173">
        <v>1005498</v>
      </c>
      <c r="C173">
        <v>457373</v>
      </c>
      <c r="D173">
        <v>548125</v>
      </c>
      <c r="E173" t="s">
        <v>17</v>
      </c>
      <c r="F173" t="s">
        <v>17</v>
      </c>
    </row>
    <row r="174" spans="1:6" x14ac:dyDescent="0.25">
      <c r="A174">
        <v>2005</v>
      </c>
      <c r="B174">
        <v>1037856</v>
      </c>
      <c r="C174">
        <v>525519</v>
      </c>
      <c r="D174">
        <v>512337</v>
      </c>
      <c r="E174" t="s">
        <v>18</v>
      </c>
      <c r="F174" t="s">
        <v>18</v>
      </c>
    </row>
    <row r="175" spans="1:6" x14ac:dyDescent="0.25">
      <c r="A175">
        <v>2005</v>
      </c>
      <c r="B175">
        <v>1180710</v>
      </c>
      <c r="C175">
        <v>623325</v>
      </c>
      <c r="D175">
        <v>557385</v>
      </c>
      <c r="E175" t="s">
        <v>19</v>
      </c>
      <c r="F175" t="s">
        <v>19</v>
      </c>
    </row>
    <row r="176" spans="1:6" x14ac:dyDescent="0.25">
      <c r="A176">
        <v>2005</v>
      </c>
      <c r="B176">
        <v>1107797</v>
      </c>
      <c r="C176">
        <v>575256</v>
      </c>
      <c r="D176">
        <v>532541</v>
      </c>
      <c r="E176" t="s">
        <v>20</v>
      </c>
      <c r="F176" t="s">
        <v>20</v>
      </c>
    </row>
    <row r="177" spans="1:6" x14ac:dyDescent="0.25">
      <c r="A177">
        <v>2005</v>
      </c>
      <c r="B177">
        <v>1063788</v>
      </c>
      <c r="C177">
        <v>511960</v>
      </c>
      <c r="D177">
        <v>551828</v>
      </c>
      <c r="E177" t="s">
        <v>21</v>
      </c>
      <c r="F177" t="s">
        <v>21</v>
      </c>
    </row>
    <row r="178" spans="1:6" x14ac:dyDescent="0.25">
      <c r="A178">
        <v>2005</v>
      </c>
      <c r="B178">
        <v>1136903</v>
      </c>
      <c r="C178">
        <v>550048</v>
      </c>
      <c r="D178">
        <v>586855</v>
      </c>
      <c r="E178" t="s">
        <v>22</v>
      </c>
      <c r="F178" t="s">
        <v>22</v>
      </c>
    </row>
    <row r="179" spans="1:6" x14ac:dyDescent="0.25">
      <c r="A179">
        <v>2005</v>
      </c>
      <c r="B179">
        <v>970678</v>
      </c>
      <c r="C179">
        <v>417270</v>
      </c>
      <c r="D179">
        <v>553408</v>
      </c>
      <c r="E179" t="s">
        <v>23</v>
      </c>
      <c r="F179" t="s">
        <v>23</v>
      </c>
    </row>
    <row r="180" spans="1:6" x14ac:dyDescent="0.25">
      <c r="A180">
        <v>2005</v>
      </c>
      <c r="B180">
        <v>1157637</v>
      </c>
      <c r="C180">
        <v>628519</v>
      </c>
      <c r="D180">
        <v>529118</v>
      </c>
      <c r="E180" t="s">
        <v>24</v>
      </c>
      <c r="F180" t="s">
        <v>24</v>
      </c>
    </row>
    <row r="181" spans="1:6" x14ac:dyDescent="0.25">
      <c r="A181">
        <v>2005</v>
      </c>
      <c r="B181">
        <v>1202681</v>
      </c>
      <c r="C181">
        <v>619958</v>
      </c>
      <c r="D181">
        <v>582723</v>
      </c>
      <c r="E181" t="s">
        <v>25</v>
      </c>
      <c r="F181" t="s">
        <v>25</v>
      </c>
    </row>
    <row r="182" spans="1:6" x14ac:dyDescent="0.25">
      <c r="A182">
        <v>2005</v>
      </c>
      <c r="B182">
        <v>1013461</v>
      </c>
      <c r="C182">
        <v>418450</v>
      </c>
      <c r="D182">
        <v>595011</v>
      </c>
      <c r="E182" t="s">
        <v>26</v>
      </c>
      <c r="F182" t="s">
        <v>27</v>
      </c>
    </row>
    <row r="183" spans="1:6" x14ac:dyDescent="0.25">
      <c r="A183">
        <v>2005</v>
      </c>
      <c r="B183">
        <v>1109699</v>
      </c>
      <c r="C183">
        <v>541393</v>
      </c>
      <c r="D183">
        <v>568306</v>
      </c>
      <c r="E183" t="s">
        <v>28</v>
      </c>
      <c r="F183" t="s">
        <v>28</v>
      </c>
    </row>
    <row r="184" spans="1:6" x14ac:dyDescent="0.25">
      <c r="A184">
        <v>2005</v>
      </c>
      <c r="B184">
        <v>1048739</v>
      </c>
      <c r="C184">
        <v>507434</v>
      </c>
      <c r="D184">
        <v>541305</v>
      </c>
      <c r="E184" t="s">
        <v>29</v>
      </c>
      <c r="F184" t="s">
        <v>29</v>
      </c>
    </row>
    <row r="185" spans="1:6" x14ac:dyDescent="0.25">
      <c r="A185">
        <v>2005</v>
      </c>
      <c r="B185">
        <v>1090332</v>
      </c>
      <c r="C185">
        <v>529916</v>
      </c>
      <c r="D185">
        <v>560416</v>
      </c>
      <c r="E185" t="s">
        <v>30</v>
      </c>
      <c r="F185" t="s">
        <v>31</v>
      </c>
    </row>
    <row r="186" spans="1:6" x14ac:dyDescent="0.25">
      <c r="A186">
        <v>2005</v>
      </c>
      <c r="B186">
        <v>1113073</v>
      </c>
      <c r="C186">
        <v>523426</v>
      </c>
      <c r="D186">
        <v>589647</v>
      </c>
      <c r="E186" t="s">
        <v>32</v>
      </c>
      <c r="F186" t="s">
        <v>32</v>
      </c>
    </row>
    <row r="187" spans="1:6" x14ac:dyDescent="0.25">
      <c r="A187">
        <v>2005</v>
      </c>
      <c r="B187">
        <v>1067926</v>
      </c>
      <c r="C187">
        <v>532954</v>
      </c>
      <c r="D187">
        <v>534972</v>
      </c>
      <c r="E187" t="s">
        <v>33</v>
      </c>
      <c r="F187" t="s">
        <v>33</v>
      </c>
    </row>
    <row r="188" spans="1:6" x14ac:dyDescent="0.25">
      <c r="A188">
        <v>2005</v>
      </c>
      <c r="B188">
        <v>1036861</v>
      </c>
      <c r="C188">
        <v>523685</v>
      </c>
      <c r="D188">
        <v>513176</v>
      </c>
      <c r="E188" t="s">
        <v>34</v>
      </c>
      <c r="F188" t="s">
        <v>35</v>
      </c>
    </row>
    <row r="189" spans="1:6" x14ac:dyDescent="0.25">
      <c r="A189">
        <v>2005</v>
      </c>
      <c r="B189">
        <v>1044836</v>
      </c>
      <c r="C189">
        <v>521741</v>
      </c>
      <c r="D189">
        <v>523095</v>
      </c>
      <c r="E189" t="s">
        <v>36</v>
      </c>
      <c r="F189" t="s">
        <v>36</v>
      </c>
    </row>
    <row r="190" spans="1:6" x14ac:dyDescent="0.25">
      <c r="A190">
        <v>2005</v>
      </c>
      <c r="B190">
        <v>1059178</v>
      </c>
      <c r="C190">
        <v>553192</v>
      </c>
      <c r="D190">
        <v>505986</v>
      </c>
      <c r="E190" t="s">
        <v>37</v>
      </c>
      <c r="F190" t="s">
        <v>37</v>
      </c>
    </row>
    <row r="191" spans="1:6" x14ac:dyDescent="0.25">
      <c r="A191">
        <v>2005</v>
      </c>
      <c r="B191">
        <v>1260275</v>
      </c>
      <c r="C191">
        <v>716999</v>
      </c>
      <c r="D191">
        <v>543276</v>
      </c>
      <c r="E191" t="s">
        <v>38</v>
      </c>
      <c r="F191" t="s">
        <v>38</v>
      </c>
    </row>
    <row r="192" spans="1:6" x14ac:dyDescent="0.25">
      <c r="A192">
        <v>2006</v>
      </c>
      <c r="B192">
        <v>1041022</v>
      </c>
      <c r="C192">
        <v>508829</v>
      </c>
      <c r="D192">
        <v>532193</v>
      </c>
      <c r="E192" t="s">
        <v>5</v>
      </c>
      <c r="F192" t="s">
        <v>5</v>
      </c>
    </row>
    <row r="193" spans="1:6" x14ac:dyDescent="0.25">
      <c r="A193">
        <v>2006</v>
      </c>
      <c r="B193">
        <v>1126210</v>
      </c>
      <c r="C193">
        <v>563462</v>
      </c>
      <c r="D193">
        <v>562748</v>
      </c>
      <c r="E193" t="s">
        <v>6</v>
      </c>
      <c r="F193" t="s">
        <v>6</v>
      </c>
    </row>
    <row r="194" spans="1:6" x14ac:dyDescent="0.25">
      <c r="A194">
        <v>2006</v>
      </c>
      <c r="B194">
        <v>1125187</v>
      </c>
      <c r="C194">
        <v>566547</v>
      </c>
      <c r="D194">
        <v>558640</v>
      </c>
      <c r="E194" t="s">
        <v>7</v>
      </c>
      <c r="F194" t="s">
        <v>7</v>
      </c>
    </row>
    <row r="195" spans="1:6" x14ac:dyDescent="0.25">
      <c r="A195">
        <v>2006</v>
      </c>
      <c r="B195">
        <v>1081107</v>
      </c>
      <c r="C195">
        <v>541169</v>
      </c>
      <c r="D195">
        <v>539938</v>
      </c>
      <c r="E195" t="s">
        <v>8</v>
      </c>
      <c r="F195" t="s">
        <v>8</v>
      </c>
    </row>
    <row r="196" spans="1:6" x14ac:dyDescent="0.25">
      <c r="A196">
        <v>2006</v>
      </c>
      <c r="B196">
        <v>1147260</v>
      </c>
      <c r="C196">
        <v>588537</v>
      </c>
      <c r="D196">
        <v>558723</v>
      </c>
      <c r="E196" t="s">
        <v>9</v>
      </c>
      <c r="F196" t="s">
        <v>9</v>
      </c>
    </row>
    <row r="197" spans="1:6" x14ac:dyDescent="0.25">
      <c r="A197">
        <v>2006</v>
      </c>
      <c r="B197">
        <v>1048363</v>
      </c>
      <c r="C197">
        <v>497786</v>
      </c>
      <c r="D197">
        <v>550577</v>
      </c>
      <c r="E197" t="s">
        <v>10</v>
      </c>
      <c r="F197" t="s">
        <v>10</v>
      </c>
    </row>
    <row r="198" spans="1:6" x14ac:dyDescent="0.25">
      <c r="A198">
        <v>2006</v>
      </c>
      <c r="B198">
        <v>1081250</v>
      </c>
      <c r="C198">
        <v>527870</v>
      </c>
      <c r="D198">
        <v>553380</v>
      </c>
      <c r="E198" t="s">
        <v>11</v>
      </c>
      <c r="F198" t="s">
        <v>11</v>
      </c>
    </row>
    <row r="199" spans="1:6" x14ac:dyDescent="0.25">
      <c r="A199">
        <v>2006</v>
      </c>
      <c r="B199">
        <v>1112241</v>
      </c>
      <c r="C199">
        <v>578672</v>
      </c>
      <c r="D199">
        <v>533569</v>
      </c>
      <c r="E199" t="s">
        <v>12</v>
      </c>
      <c r="F199" t="s">
        <v>12</v>
      </c>
    </row>
    <row r="200" spans="1:6" x14ac:dyDescent="0.25">
      <c r="A200">
        <v>2006</v>
      </c>
      <c r="B200">
        <v>1089509</v>
      </c>
      <c r="C200">
        <v>506308</v>
      </c>
      <c r="D200">
        <v>583201</v>
      </c>
      <c r="E200" t="s">
        <v>13</v>
      </c>
      <c r="F200" t="s">
        <v>13</v>
      </c>
    </row>
    <row r="201" spans="1:6" x14ac:dyDescent="0.25">
      <c r="A201">
        <v>2006</v>
      </c>
      <c r="B201">
        <v>1155737</v>
      </c>
      <c r="C201">
        <v>610782</v>
      </c>
      <c r="D201">
        <v>544955</v>
      </c>
      <c r="E201" t="s">
        <v>14</v>
      </c>
      <c r="F201" t="s">
        <v>14</v>
      </c>
    </row>
    <row r="202" spans="1:6" x14ac:dyDescent="0.25">
      <c r="A202">
        <v>2006</v>
      </c>
      <c r="B202">
        <v>1021303</v>
      </c>
      <c r="C202">
        <v>487116</v>
      </c>
      <c r="D202">
        <v>534187</v>
      </c>
      <c r="E202" t="s">
        <v>15</v>
      </c>
      <c r="F202" t="s">
        <v>15</v>
      </c>
    </row>
    <row r="203" spans="1:6" x14ac:dyDescent="0.25">
      <c r="A203">
        <v>2006</v>
      </c>
      <c r="B203">
        <v>1104825</v>
      </c>
      <c r="C203">
        <v>565749</v>
      </c>
      <c r="D203">
        <v>539076</v>
      </c>
      <c r="E203" t="s">
        <v>16</v>
      </c>
      <c r="F203" t="s">
        <v>16</v>
      </c>
    </row>
    <row r="204" spans="1:6" x14ac:dyDescent="0.25">
      <c r="A204">
        <v>2006</v>
      </c>
      <c r="B204">
        <v>1086443</v>
      </c>
      <c r="C204">
        <v>561469</v>
      </c>
      <c r="D204">
        <v>524974</v>
      </c>
      <c r="E204" t="s">
        <v>39</v>
      </c>
      <c r="F204" t="s">
        <v>39</v>
      </c>
    </row>
    <row r="205" spans="1:6" x14ac:dyDescent="0.25">
      <c r="A205">
        <v>2006</v>
      </c>
      <c r="B205">
        <v>1028634</v>
      </c>
      <c r="C205">
        <v>457154</v>
      </c>
      <c r="D205">
        <v>571480</v>
      </c>
      <c r="E205" t="s">
        <v>17</v>
      </c>
      <c r="F205" t="s">
        <v>17</v>
      </c>
    </row>
    <row r="206" spans="1:6" x14ac:dyDescent="0.25">
      <c r="A206">
        <v>2006</v>
      </c>
      <c r="B206">
        <v>1104052</v>
      </c>
      <c r="C206">
        <v>534866</v>
      </c>
      <c r="D206">
        <v>569186</v>
      </c>
      <c r="E206" t="s">
        <v>18</v>
      </c>
      <c r="F206" t="s">
        <v>18</v>
      </c>
    </row>
    <row r="207" spans="1:6" x14ac:dyDescent="0.25">
      <c r="A207">
        <v>2006</v>
      </c>
      <c r="B207">
        <v>1167512</v>
      </c>
      <c r="C207">
        <v>623275</v>
      </c>
      <c r="D207">
        <v>544237</v>
      </c>
      <c r="E207" t="s">
        <v>19</v>
      </c>
      <c r="F207" t="s">
        <v>19</v>
      </c>
    </row>
    <row r="208" spans="1:6" x14ac:dyDescent="0.25">
      <c r="A208">
        <v>2006</v>
      </c>
      <c r="B208">
        <v>1119255</v>
      </c>
      <c r="C208">
        <v>585973</v>
      </c>
      <c r="D208">
        <v>533282</v>
      </c>
      <c r="E208" t="s">
        <v>20</v>
      </c>
      <c r="F208" t="s">
        <v>20</v>
      </c>
    </row>
    <row r="209" spans="1:6" x14ac:dyDescent="0.25">
      <c r="A209">
        <v>2006</v>
      </c>
      <c r="B209">
        <v>1075545</v>
      </c>
      <c r="C209">
        <v>509743</v>
      </c>
      <c r="D209">
        <v>565802</v>
      </c>
      <c r="E209" t="s">
        <v>21</v>
      </c>
      <c r="F209" t="s">
        <v>21</v>
      </c>
    </row>
    <row r="210" spans="1:6" x14ac:dyDescent="0.25">
      <c r="A210">
        <v>2006</v>
      </c>
      <c r="B210">
        <v>1110770</v>
      </c>
      <c r="C210">
        <v>550048</v>
      </c>
      <c r="D210">
        <v>560722</v>
      </c>
      <c r="E210" t="s">
        <v>22</v>
      </c>
      <c r="F210" t="s">
        <v>22</v>
      </c>
    </row>
    <row r="211" spans="1:6" x14ac:dyDescent="0.25">
      <c r="A211">
        <v>2006</v>
      </c>
      <c r="B211">
        <v>1108045</v>
      </c>
      <c r="C211">
        <v>550470</v>
      </c>
      <c r="D211">
        <v>557575</v>
      </c>
      <c r="E211" t="s">
        <v>23</v>
      </c>
      <c r="F211" t="s">
        <v>23</v>
      </c>
    </row>
    <row r="212" spans="1:6" x14ac:dyDescent="0.25">
      <c r="A212">
        <v>2006</v>
      </c>
      <c r="B212">
        <v>1196814</v>
      </c>
      <c r="C212">
        <v>628910</v>
      </c>
      <c r="D212">
        <v>567904</v>
      </c>
      <c r="E212" t="s">
        <v>24</v>
      </c>
      <c r="F212" t="s">
        <v>24</v>
      </c>
    </row>
    <row r="213" spans="1:6" x14ac:dyDescent="0.25">
      <c r="A213">
        <v>2006</v>
      </c>
      <c r="B213">
        <v>1175356</v>
      </c>
      <c r="C213">
        <v>618575</v>
      </c>
      <c r="D213">
        <v>556781</v>
      </c>
      <c r="E213" t="s">
        <v>25</v>
      </c>
      <c r="F213" t="s">
        <v>25</v>
      </c>
    </row>
    <row r="214" spans="1:6" x14ac:dyDescent="0.25">
      <c r="A214">
        <v>2006</v>
      </c>
      <c r="B214">
        <v>1039706</v>
      </c>
      <c r="C214">
        <v>467964</v>
      </c>
      <c r="D214">
        <v>571742</v>
      </c>
      <c r="E214" t="s">
        <v>26</v>
      </c>
      <c r="F214" t="s">
        <v>27</v>
      </c>
    </row>
    <row r="215" spans="1:6" x14ac:dyDescent="0.25">
      <c r="A215">
        <v>2006</v>
      </c>
      <c r="B215">
        <v>1109173</v>
      </c>
      <c r="C215">
        <v>553794</v>
      </c>
      <c r="D215">
        <v>555379</v>
      </c>
      <c r="E215" t="s">
        <v>28</v>
      </c>
      <c r="F215" t="s">
        <v>28</v>
      </c>
    </row>
    <row r="216" spans="1:6" x14ac:dyDescent="0.25">
      <c r="A216">
        <v>2006</v>
      </c>
      <c r="B216">
        <v>1052087</v>
      </c>
      <c r="C216">
        <v>499461</v>
      </c>
      <c r="D216">
        <v>552626</v>
      </c>
      <c r="E216" t="s">
        <v>29</v>
      </c>
      <c r="F216" t="s">
        <v>29</v>
      </c>
    </row>
    <row r="217" spans="1:6" x14ac:dyDescent="0.25">
      <c r="A217">
        <v>2006</v>
      </c>
      <c r="B217">
        <v>1084416</v>
      </c>
      <c r="C217">
        <v>531031</v>
      </c>
      <c r="D217">
        <v>553385</v>
      </c>
      <c r="E217" t="s">
        <v>30</v>
      </c>
      <c r="F217" t="s">
        <v>31</v>
      </c>
    </row>
    <row r="218" spans="1:6" x14ac:dyDescent="0.25">
      <c r="A218">
        <v>2006</v>
      </c>
      <c r="B218">
        <v>1086093</v>
      </c>
      <c r="C218">
        <v>545207</v>
      </c>
      <c r="D218">
        <v>540886</v>
      </c>
      <c r="E218" t="s">
        <v>32</v>
      </c>
      <c r="F218" t="s">
        <v>32</v>
      </c>
    </row>
    <row r="219" spans="1:6" x14ac:dyDescent="0.25">
      <c r="A219">
        <v>2006</v>
      </c>
      <c r="B219">
        <v>1083593</v>
      </c>
      <c r="C219">
        <v>543820</v>
      </c>
      <c r="D219">
        <v>539773</v>
      </c>
      <c r="E219" t="s">
        <v>33</v>
      </c>
      <c r="F219" t="s">
        <v>33</v>
      </c>
    </row>
    <row r="220" spans="1:6" x14ac:dyDescent="0.25">
      <c r="A220">
        <v>2006</v>
      </c>
      <c r="B220">
        <v>1046325</v>
      </c>
      <c r="C220">
        <v>522610</v>
      </c>
      <c r="D220">
        <v>523715</v>
      </c>
      <c r="E220" t="s">
        <v>34</v>
      </c>
      <c r="F220" t="s">
        <v>35</v>
      </c>
    </row>
    <row r="221" spans="1:6" x14ac:dyDescent="0.25">
      <c r="A221">
        <v>2006</v>
      </c>
      <c r="B221">
        <v>1070781</v>
      </c>
      <c r="C221">
        <v>524661</v>
      </c>
      <c r="D221">
        <v>546120</v>
      </c>
      <c r="E221" t="s">
        <v>36</v>
      </c>
      <c r="F221" t="s">
        <v>36</v>
      </c>
    </row>
    <row r="222" spans="1:6" x14ac:dyDescent="0.25">
      <c r="A222">
        <v>2006</v>
      </c>
      <c r="B222">
        <v>1097073</v>
      </c>
      <c r="C222">
        <v>553144</v>
      </c>
      <c r="D222">
        <v>543929</v>
      </c>
      <c r="E222" t="s">
        <v>37</v>
      </c>
      <c r="F222" t="s">
        <v>37</v>
      </c>
    </row>
    <row r="223" spans="1:6" x14ac:dyDescent="0.25">
      <c r="A223">
        <v>2006</v>
      </c>
      <c r="B223">
        <v>1236415</v>
      </c>
      <c r="C223">
        <v>701049</v>
      </c>
      <c r="D223">
        <v>535366</v>
      </c>
      <c r="E223" t="s">
        <v>38</v>
      </c>
      <c r="F223" t="s">
        <v>38</v>
      </c>
    </row>
    <row r="224" spans="1:6" x14ac:dyDescent="0.25">
      <c r="A224">
        <v>2007</v>
      </c>
      <c r="B224">
        <v>1072427</v>
      </c>
      <c r="C224">
        <v>516646</v>
      </c>
      <c r="D224">
        <v>555781</v>
      </c>
      <c r="E224" t="s">
        <v>5</v>
      </c>
      <c r="F224" t="s">
        <v>5</v>
      </c>
    </row>
    <row r="225" spans="1:6" x14ac:dyDescent="0.25">
      <c r="A225">
        <v>2007</v>
      </c>
      <c r="B225">
        <v>1075623</v>
      </c>
      <c r="C225">
        <v>547167</v>
      </c>
      <c r="D225">
        <v>528456</v>
      </c>
      <c r="E225" t="s">
        <v>6</v>
      </c>
      <c r="F225" t="s">
        <v>6</v>
      </c>
    </row>
    <row r="226" spans="1:6" x14ac:dyDescent="0.25">
      <c r="A226">
        <v>2007</v>
      </c>
      <c r="B226">
        <v>1112200</v>
      </c>
      <c r="C226">
        <v>569226</v>
      </c>
      <c r="D226">
        <v>542974</v>
      </c>
      <c r="E226" t="s">
        <v>7</v>
      </c>
      <c r="F226" t="s">
        <v>7</v>
      </c>
    </row>
    <row r="227" spans="1:6" x14ac:dyDescent="0.25">
      <c r="A227">
        <v>2007</v>
      </c>
      <c r="B227">
        <v>1140970</v>
      </c>
      <c r="C227">
        <v>568437</v>
      </c>
      <c r="D227">
        <v>572533</v>
      </c>
      <c r="E227" t="s">
        <v>8</v>
      </c>
      <c r="F227" t="s">
        <v>8</v>
      </c>
    </row>
    <row r="228" spans="1:6" x14ac:dyDescent="0.25">
      <c r="A228">
        <v>2007</v>
      </c>
      <c r="B228">
        <v>1126754</v>
      </c>
      <c r="C228">
        <v>587221</v>
      </c>
      <c r="D228">
        <v>539533</v>
      </c>
      <c r="E228" t="s">
        <v>9</v>
      </c>
      <c r="F228" t="s">
        <v>9</v>
      </c>
    </row>
    <row r="229" spans="1:6" x14ac:dyDescent="0.25">
      <c r="A229">
        <v>2007</v>
      </c>
      <c r="B229">
        <v>1041602</v>
      </c>
      <c r="C229">
        <v>497267</v>
      </c>
      <c r="D229">
        <v>544335</v>
      </c>
      <c r="E229" t="s">
        <v>10</v>
      </c>
      <c r="F229" t="s">
        <v>10</v>
      </c>
    </row>
    <row r="230" spans="1:6" x14ac:dyDescent="0.25">
      <c r="A230">
        <v>2007</v>
      </c>
      <c r="B230">
        <v>1083308</v>
      </c>
      <c r="C230">
        <v>526320</v>
      </c>
      <c r="D230">
        <v>556988</v>
      </c>
      <c r="E230" t="s">
        <v>11</v>
      </c>
      <c r="F230" t="s">
        <v>11</v>
      </c>
    </row>
    <row r="231" spans="1:6" x14ac:dyDescent="0.25">
      <c r="A231">
        <v>2007</v>
      </c>
      <c r="B231">
        <v>1110086</v>
      </c>
      <c r="C231">
        <v>584006</v>
      </c>
      <c r="D231">
        <v>526080</v>
      </c>
      <c r="E231" t="s">
        <v>12</v>
      </c>
      <c r="F231" t="s">
        <v>12</v>
      </c>
    </row>
    <row r="232" spans="1:6" x14ac:dyDescent="0.25">
      <c r="A232">
        <v>2007</v>
      </c>
      <c r="B232">
        <v>1087748</v>
      </c>
      <c r="C232">
        <v>508278</v>
      </c>
      <c r="D232">
        <v>579470</v>
      </c>
      <c r="E232" t="s">
        <v>13</v>
      </c>
      <c r="F232" t="s">
        <v>13</v>
      </c>
    </row>
    <row r="233" spans="1:6" x14ac:dyDescent="0.25">
      <c r="A233">
        <v>2007</v>
      </c>
      <c r="B233">
        <v>1139812</v>
      </c>
      <c r="C233">
        <v>612893</v>
      </c>
      <c r="D233">
        <v>526919</v>
      </c>
      <c r="E233" t="s">
        <v>14</v>
      </c>
      <c r="F233" t="s">
        <v>14</v>
      </c>
    </row>
    <row r="234" spans="1:6" x14ac:dyDescent="0.25">
      <c r="A234">
        <v>2007</v>
      </c>
      <c r="B234">
        <v>1035791</v>
      </c>
      <c r="C234">
        <v>490436</v>
      </c>
      <c r="D234">
        <v>545355</v>
      </c>
      <c r="E234" t="s">
        <v>15</v>
      </c>
      <c r="F234" t="s">
        <v>15</v>
      </c>
    </row>
    <row r="235" spans="1:6" x14ac:dyDescent="0.25">
      <c r="A235">
        <v>2007</v>
      </c>
      <c r="B235">
        <v>1120775</v>
      </c>
      <c r="C235">
        <v>566443</v>
      </c>
      <c r="D235">
        <v>554332</v>
      </c>
      <c r="E235" t="s">
        <v>16</v>
      </c>
      <c r="F235" t="s">
        <v>16</v>
      </c>
    </row>
    <row r="236" spans="1:6" x14ac:dyDescent="0.25">
      <c r="A236">
        <v>2007</v>
      </c>
      <c r="B236">
        <v>1080028</v>
      </c>
      <c r="C236">
        <v>564159</v>
      </c>
      <c r="D236">
        <v>515869</v>
      </c>
      <c r="E236" t="s">
        <v>39</v>
      </c>
      <c r="F236" t="s">
        <v>39</v>
      </c>
    </row>
    <row r="237" spans="1:6" x14ac:dyDescent="0.25">
      <c r="A237">
        <v>2007</v>
      </c>
      <c r="B237">
        <v>1009598</v>
      </c>
      <c r="C237">
        <v>458437</v>
      </c>
      <c r="D237">
        <v>551161</v>
      </c>
      <c r="E237" t="s">
        <v>17</v>
      </c>
      <c r="F237" t="s">
        <v>17</v>
      </c>
    </row>
    <row r="238" spans="1:6" x14ac:dyDescent="0.25">
      <c r="A238">
        <v>2007</v>
      </c>
      <c r="B238">
        <v>1066830</v>
      </c>
      <c r="C238">
        <v>522410</v>
      </c>
      <c r="D238">
        <v>544420</v>
      </c>
      <c r="E238" t="s">
        <v>18</v>
      </c>
      <c r="F238" t="s">
        <v>18</v>
      </c>
    </row>
    <row r="239" spans="1:6" x14ac:dyDescent="0.25">
      <c r="A239">
        <v>2007</v>
      </c>
      <c r="B239">
        <v>1143671</v>
      </c>
      <c r="C239">
        <v>614217</v>
      </c>
      <c r="D239">
        <v>529454</v>
      </c>
      <c r="E239" t="s">
        <v>19</v>
      </c>
      <c r="F239" t="s">
        <v>19</v>
      </c>
    </row>
    <row r="240" spans="1:6" x14ac:dyDescent="0.25">
      <c r="A240">
        <v>2007</v>
      </c>
      <c r="B240">
        <v>1154961</v>
      </c>
      <c r="C240">
        <v>577835</v>
      </c>
      <c r="D240">
        <v>577126</v>
      </c>
      <c r="E240" t="s">
        <v>20</v>
      </c>
      <c r="F240" t="s">
        <v>20</v>
      </c>
    </row>
    <row r="241" spans="1:6" x14ac:dyDescent="0.25">
      <c r="A241">
        <v>2007</v>
      </c>
      <c r="B241">
        <v>1065131</v>
      </c>
      <c r="C241">
        <v>506046</v>
      </c>
      <c r="D241">
        <v>559085</v>
      </c>
      <c r="E241" t="s">
        <v>21</v>
      </c>
      <c r="F241" t="s">
        <v>21</v>
      </c>
    </row>
    <row r="242" spans="1:6" x14ac:dyDescent="0.25">
      <c r="A242">
        <v>2007</v>
      </c>
      <c r="B242">
        <v>1109366</v>
      </c>
      <c r="C242">
        <v>550048</v>
      </c>
      <c r="D242">
        <v>559318</v>
      </c>
      <c r="E242" t="s">
        <v>22</v>
      </c>
      <c r="F242" t="s">
        <v>22</v>
      </c>
    </row>
    <row r="243" spans="1:6" x14ac:dyDescent="0.25">
      <c r="A243">
        <v>2007</v>
      </c>
      <c r="B243">
        <v>1093544</v>
      </c>
      <c r="C243">
        <v>560036</v>
      </c>
      <c r="D243">
        <v>533508</v>
      </c>
      <c r="E243" t="s">
        <v>23</v>
      </c>
      <c r="F243" t="s">
        <v>23</v>
      </c>
    </row>
    <row r="244" spans="1:6" x14ac:dyDescent="0.25">
      <c r="A244">
        <v>2007</v>
      </c>
      <c r="B244">
        <v>1197501</v>
      </c>
      <c r="C244">
        <v>629848</v>
      </c>
      <c r="D244">
        <v>567653</v>
      </c>
      <c r="E244" t="s">
        <v>24</v>
      </c>
      <c r="F244" t="s">
        <v>24</v>
      </c>
    </row>
    <row r="245" spans="1:6" x14ac:dyDescent="0.25">
      <c r="A245">
        <v>2007</v>
      </c>
      <c r="B245">
        <v>1175701</v>
      </c>
      <c r="C245">
        <v>616855</v>
      </c>
      <c r="D245">
        <v>558846</v>
      </c>
      <c r="E245" t="s">
        <v>25</v>
      </c>
      <c r="F245" t="s">
        <v>25</v>
      </c>
    </row>
    <row r="246" spans="1:6" x14ac:dyDescent="0.25">
      <c r="A246">
        <v>2007</v>
      </c>
      <c r="B246">
        <v>1033850</v>
      </c>
      <c r="C246">
        <v>472876</v>
      </c>
      <c r="D246">
        <v>560974</v>
      </c>
      <c r="E246" t="s">
        <v>26</v>
      </c>
      <c r="F246" t="s">
        <v>27</v>
      </c>
    </row>
    <row r="247" spans="1:6" x14ac:dyDescent="0.25">
      <c r="A247">
        <v>2007</v>
      </c>
      <c r="B247">
        <v>1127787</v>
      </c>
      <c r="C247">
        <v>545357</v>
      </c>
      <c r="D247">
        <v>582430</v>
      </c>
      <c r="E247" t="s">
        <v>28</v>
      </c>
      <c r="F247" t="s">
        <v>28</v>
      </c>
    </row>
    <row r="248" spans="1:6" x14ac:dyDescent="0.25">
      <c r="A248">
        <v>2007</v>
      </c>
      <c r="B248">
        <v>1061307</v>
      </c>
      <c r="C248">
        <v>496675</v>
      </c>
      <c r="D248">
        <v>564632</v>
      </c>
      <c r="E248" t="s">
        <v>29</v>
      </c>
      <c r="F248" t="s">
        <v>29</v>
      </c>
    </row>
    <row r="249" spans="1:6" x14ac:dyDescent="0.25">
      <c r="A249">
        <v>2007</v>
      </c>
      <c r="B249">
        <v>1075885</v>
      </c>
      <c r="C249">
        <v>524019</v>
      </c>
      <c r="D249">
        <v>551866</v>
      </c>
      <c r="E249" t="s">
        <v>30</v>
      </c>
      <c r="F249" t="s">
        <v>31</v>
      </c>
    </row>
    <row r="250" spans="1:6" x14ac:dyDescent="0.25">
      <c r="A250">
        <v>2007</v>
      </c>
      <c r="B250">
        <v>1097841</v>
      </c>
      <c r="C250">
        <v>544226</v>
      </c>
      <c r="D250">
        <v>553615</v>
      </c>
      <c r="E250" t="s">
        <v>32</v>
      </c>
      <c r="F250" t="s">
        <v>32</v>
      </c>
    </row>
    <row r="251" spans="1:6" x14ac:dyDescent="0.25">
      <c r="A251">
        <v>2007</v>
      </c>
      <c r="B251">
        <v>1087363</v>
      </c>
      <c r="C251">
        <v>545551</v>
      </c>
      <c r="D251">
        <v>541812</v>
      </c>
      <c r="E251" t="s">
        <v>33</v>
      </c>
      <c r="F251" t="s">
        <v>33</v>
      </c>
    </row>
    <row r="252" spans="1:6" x14ac:dyDescent="0.25">
      <c r="A252">
        <v>2007</v>
      </c>
      <c r="B252">
        <v>1049682</v>
      </c>
      <c r="C252">
        <v>514354</v>
      </c>
      <c r="D252">
        <v>535328</v>
      </c>
      <c r="E252" t="s">
        <v>34</v>
      </c>
      <c r="F252" t="s">
        <v>35</v>
      </c>
    </row>
    <row r="253" spans="1:6" x14ac:dyDescent="0.25">
      <c r="A253">
        <v>2007</v>
      </c>
      <c r="B253">
        <v>1059844</v>
      </c>
      <c r="C253">
        <v>522530</v>
      </c>
      <c r="D253">
        <v>537314</v>
      </c>
      <c r="E253" t="s">
        <v>36</v>
      </c>
      <c r="F253" t="s">
        <v>36</v>
      </c>
    </row>
    <row r="254" spans="1:6" x14ac:dyDescent="0.25">
      <c r="A254">
        <v>2007</v>
      </c>
      <c r="B254">
        <v>1098921</v>
      </c>
      <c r="C254">
        <v>553144</v>
      </c>
      <c r="D254">
        <v>545777</v>
      </c>
      <c r="E254" t="s">
        <v>37</v>
      </c>
      <c r="F254" t="s">
        <v>37</v>
      </c>
    </row>
    <row r="255" spans="1:6" x14ac:dyDescent="0.25">
      <c r="A255">
        <v>2007</v>
      </c>
      <c r="B255">
        <v>1259463</v>
      </c>
      <c r="C255">
        <v>704722</v>
      </c>
      <c r="D255">
        <v>554741</v>
      </c>
      <c r="E255" t="s">
        <v>38</v>
      </c>
      <c r="F255" t="s">
        <v>38</v>
      </c>
    </row>
    <row r="256" spans="1:6" x14ac:dyDescent="0.25">
      <c r="A256">
        <v>2008</v>
      </c>
      <c r="B256">
        <v>1087072</v>
      </c>
      <c r="C256">
        <v>512775</v>
      </c>
      <c r="D256">
        <v>574297</v>
      </c>
      <c r="E256" t="s">
        <v>5</v>
      </c>
      <c r="F256" t="s">
        <v>5</v>
      </c>
    </row>
    <row r="257" spans="1:6" x14ac:dyDescent="0.25">
      <c r="A257">
        <v>2008</v>
      </c>
      <c r="B257">
        <v>1040162</v>
      </c>
      <c r="C257">
        <v>502813</v>
      </c>
      <c r="D257">
        <v>537349</v>
      </c>
      <c r="E257" t="s">
        <v>6</v>
      </c>
      <c r="F257" t="s">
        <v>6</v>
      </c>
    </row>
    <row r="258" spans="1:6" x14ac:dyDescent="0.25">
      <c r="A258">
        <v>2008</v>
      </c>
      <c r="B258">
        <v>1115465</v>
      </c>
      <c r="C258">
        <v>570152</v>
      </c>
      <c r="D258">
        <v>545313</v>
      </c>
      <c r="E258" t="s">
        <v>7</v>
      </c>
      <c r="F258" t="s">
        <v>7</v>
      </c>
    </row>
    <row r="259" spans="1:6" x14ac:dyDescent="0.25">
      <c r="A259">
        <v>2008</v>
      </c>
      <c r="B259">
        <v>1102421</v>
      </c>
      <c r="C259">
        <v>551969</v>
      </c>
      <c r="D259">
        <v>550452</v>
      </c>
      <c r="E259" t="s">
        <v>8</v>
      </c>
      <c r="F259" t="s">
        <v>8</v>
      </c>
    </row>
    <row r="260" spans="1:6" x14ac:dyDescent="0.25">
      <c r="A260">
        <v>2008</v>
      </c>
      <c r="B260">
        <v>1111316</v>
      </c>
      <c r="C260">
        <v>585684</v>
      </c>
      <c r="D260">
        <v>525632</v>
      </c>
      <c r="E260" t="s">
        <v>9</v>
      </c>
      <c r="F260" t="s">
        <v>9</v>
      </c>
    </row>
    <row r="261" spans="1:6" x14ac:dyDescent="0.25">
      <c r="A261">
        <v>2008</v>
      </c>
      <c r="B261">
        <v>1028406</v>
      </c>
      <c r="C261">
        <v>496276</v>
      </c>
      <c r="D261">
        <v>532130</v>
      </c>
      <c r="E261" t="s">
        <v>10</v>
      </c>
      <c r="F261" t="s">
        <v>10</v>
      </c>
    </row>
    <row r="262" spans="1:6" x14ac:dyDescent="0.25">
      <c r="A262">
        <v>2008</v>
      </c>
      <c r="B262">
        <v>1076462</v>
      </c>
      <c r="C262">
        <v>516663</v>
      </c>
      <c r="D262">
        <v>559799</v>
      </c>
      <c r="E262" t="s">
        <v>11</v>
      </c>
      <c r="F262" t="s">
        <v>11</v>
      </c>
    </row>
    <row r="263" spans="1:6" x14ac:dyDescent="0.25">
      <c r="A263">
        <v>2008</v>
      </c>
      <c r="B263">
        <v>1147622</v>
      </c>
      <c r="C263">
        <v>582230</v>
      </c>
      <c r="D263">
        <v>565392</v>
      </c>
      <c r="E263" t="s">
        <v>12</v>
      </c>
      <c r="F263" t="s">
        <v>12</v>
      </c>
    </row>
    <row r="264" spans="1:6" x14ac:dyDescent="0.25">
      <c r="A264">
        <v>2008</v>
      </c>
      <c r="B264">
        <v>1076887</v>
      </c>
      <c r="C264">
        <v>506944</v>
      </c>
      <c r="D264">
        <v>569943</v>
      </c>
      <c r="E264" t="s">
        <v>13</v>
      </c>
      <c r="F264" t="s">
        <v>13</v>
      </c>
    </row>
    <row r="265" spans="1:6" x14ac:dyDescent="0.25">
      <c r="A265">
        <v>2008</v>
      </c>
      <c r="B265">
        <v>1159630</v>
      </c>
      <c r="C265">
        <v>604074</v>
      </c>
      <c r="D265">
        <v>555556</v>
      </c>
      <c r="E265" t="s">
        <v>14</v>
      </c>
      <c r="F265" t="s">
        <v>14</v>
      </c>
    </row>
    <row r="266" spans="1:6" x14ac:dyDescent="0.25">
      <c r="A266">
        <v>2008</v>
      </c>
      <c r="B266">
        <v>970445</v>
      </c>
      <c r="C266">
        <v>435979</v>
      </c>
      <c r="D266">
        <v>534466</v>
      </c>
      <c r="E266" t="s">
        <v>15</v>
      </c>
      <c r="F266" t="s">
        <v>15</v>
      </c>
    </row>
    <row r="267" spans="1:6" x14ac:dyDescent="0.25">
      <c r="A267">
        <v>2008</v>
      </c>
      <c r="B267">
        <v>1089433</v>
      </c>
      <c r="C267">
        <v>565460</v>
      </c>
      <c r="D267">
        <v>523973</v>
      </c>
      <c r="E267" t="s">
        <v>16</v>
      </c>
      <c r="F267" t="s">
        <v>16</v>
      </c>
    </row>
    <row r="268" spans="1:6" x14ac:dyDescent="0.25">
      <c r="A268">
        <v>2008</v>
      </c>
      <c r="B268">
        <v>1075618</v>
      </c>
      <c r="C268">
        <v>563364</v>
      </c>
      <c r="D268">
        <v>512254</v>
      </c>
      <c r="E268" t="s">
        <v>39</v>
      </c>
      <c r="F268" t="s">
        <v>39</v>
      </c>
    </row>
    <row r="269" spans="1:6" x14ac:dyDescent="0.25">
      <c r="A269">
        <v>2008</v>
      </c>
      <c r="B269">
        <v>1075412</v>
      </c>
      <c r="C269">
        <v>531026</v>
      </c>
      <c r="D269">
        <v>544386</v>
      </c>
      <c r="E269" t="s">
        <v>17</v>
      </c>
      <c r="F269" t="s">
        <v>17</v>
      </c>
    </row>
    <row r="270" spans="1:6" x14ac:dyDescent="0.25">
      <c r="A270">
        <v>2008</v>
      </c>
      <c r="B270">
        <v>1052873</v>
      </c>
      <c r="C270">
        <v>521338</v>
      </c>
      <c r="D270">
        <v>531535</v>
      </c>
      <c r="E270" t="s">
        <v>18</v>
      </c>
      <c r="F270" t="s">
        <v>18</v>
      </c>
    </row>
    <row r="271" spans="1:6" x14ac:dyDescent="0.25">
      <c r="A271">
        <v>2008</v>
      </c>
      <c r="B271">
        <v>1142228</v>
      </c>
      <c r="C271">
        <v>592622</v>
      </c>
      <c r="D271">
        <v>549606</v>
      </c>
      <c r="E271" t="s">
        <v>19</v>
      </c>
      <c r="F271" t="s">
        <v>19</v>
      </c>
    </row>
    <row r="272" spans="1:6" x14ac:dyDescent="0.25">
      <c r="A272">
        <v>2008</v>
      </c>
      <c r="B272">
        <v>1067965</v>
      </c>
      <c r="C272">
        <v>523919</v>
      </c>
      <c r="D272">
        <v>544046</v>
      </c>
      <c r="E272" t="s">
        <v>20</v>
      </c>
      <c r="F272" t="s">
        <v>20</v>
      </c>
    </row>
    <row r="273" spans="1:6" x14ac:dyDescent="0.25">
      <c r="A273">
        <v>2008</v>
      </c>
      <c r="B273">
        <v>1023776</v>
      </c>
      <c r="C273">
        <v>506136</v>
      </c>
      <c r="D273">
        <v>517640</v>
      </c>
      <c r="E273" t="s">
        <v>21</v>
      </c>
      <c r="F273" t="s">
        <v>21</v>
      </c>
    </row>
    <row r="274" spans="1:6" x14ac:dyDescent="0.25">
      <c r="A274">
        <v>2008</v>
      </c>
      <c r="B274">
        <v>1100148</v>
      </c>
      <c r="C274">
        <v>550048</v>
      </c>
      <c r="D274">
        <v>550100</v>
      </c>
      <c r="E274" t="s">
        <v>22</v>
      </c>
      <c r="F274" t="s">
        <v>22</v>
      </c>
    </row>
    <row r="275" spans="1:6" x14ac:dyDescent="0.25">
      <c r="A275">
        <v>2008</v>
      </c>
      <c r="B275">
        <v>1125938</v>
      </c>
      <c r="C275">
        <v>573876</v>
      </c>
      <c r="D275">
        <v>552062</v>
      </c>
      <c r="E275" t="s">
        <v>23</v>
      </c>
      <c r="F275" t="s">
        <v>23</v>
      </c>
    </row>
    <row r="276" spans="1:6" x14ac:dyDescent="0.25">
      <c r="A276">
        <v>2008</v>
      </c>
      <c r="B276">
        <v>1179158</v>
      </c>
      <c r="C276">
        <v>632554</v>
      </c>
      <c r="D276">
        <v>546604</v>
      </c>
      <c r="E276" t="s">
        <v>24</v>
      </c>
      <c r="F276" t="s">
        <v>24</v>
      </c>
    </row>
    <row r="277" spans="1:6" x14ac:dyDescent="0.25">
      <c r="A277">
        <v>2008</v>
      </c>
      <c r="B277">
        <v>1170229</v>
      </c>
      <c r="C277">
        <v>627858</v>
      </c>
      <c r="D277">
        <v>542371</v>
      </c>
      <c r="E277" t="s">
        <v>25</v>
      </c>
      <c r="F277" t="s">
        <v>25</v>
      </c>
    </row>
    <row r="278" spans="1:6" x14ac:dyDescent="0.25">
      <c r="A278">
        <v>2008</v>
      </c>
      <c r="B278">
        <v>1024023</v>
      </c>
      <c r="C278">
        <v>462800</v>
      </c>
      <c r="D278">
        <v>561223</v>
      </c>
      <c r="E278" t="s">
        <v>26</v>
      </c>
      <c r="F278" t="s">
        <v>27</v>
      </c>
    </row>
    <row r="279" spans="1:6" x14ac:dyDescent="0.25">
      <c r="A279">
        <v>2008</v>
      </c>
      <c r="B279">
        <v>1111845</v>
      </c>
      <c r="C279">
        <v>553152</v>
      </c>
      <c r="D279">
        <v>558693</v>
      </c>
      <c r="E279" t="s">
        <v>28</v>
      </c>
      <c r="F279" t="s">
        <v>28</v>
      </c>
    </row>
    <row r="280" spans="1:6" x14ac:dyDescent="0.25">
      <c r="A280">
        <v>2008</v>
      </c>
      <c r="B280">
        <v>1076998</v>
      </c>
      <c r="C280">
        <v>503125</v>
      </c>
      <c r="D280">
        <v>573873</v>
      </c>
      <c r="E280" t="s">
        <v>29</v>
      </c>
      <c r="F280" t="s">
        <v>29</v>
      </c>
    </row>
    <row r="281" spans="1:6" x14ac:dyDescent="0.25">
      <c r="A281">
        <v>2008</v>
      </c>
      <c r="B281">
        <v>1103392</v>
      </c>
      <c r="C281">
        <v>545107</v>
      </c>
      <c r="D281">
        <v>558285</v>
      </c>
      <c r="E281" t="s">
        <v>30</v>
      </c>
      <c r="F281" t="s">
        <v>31</v>
      </c>
    </row>
    <row r="282" spans="1:6" x14ac:dyDescent="0.25">
      <c r="A282">
        <v>2008</v>
      </c>
      <c r="B282">
        <v>1076358</v>
      </c>
      <c r="C282">
        <v>540103</v>
      </c>
      <c r="D282">
        <v>536255</v>
      </c>
      <c r="E282" t="s">
        <v>32</v>
      </c>
      <c r="F282" t="s">
        <v>32</v>
      </c>
    </row>
    <row r="283" spans="1:6" x14ac:dyDescent="0.25">
      <c r="A283">
        <v>2008</v>
      </c>
      <c r="B283">
        <v>1075115</v>
      </c>
      <c r="C283">
        <v>543965</v>
      </c>
      <c r="D283">
        <v>531150</v>
      </c>
      <c r="E283" t="s">
        <v>33</v>
      </c>
      <c r="F283" t="s">
        <v>33</v>
      </c>
    </row>
    <row r="284" spans="1:6" x14ac:dyDescent="0.25">
      <c r="A284">
        <v>2008</v>
      </c>
      <c r="B284">
        <v>1050114</v>
      </c>
      <c r="C284">
        <v>479843</v>
      </c>
      <c r="D284">
        <v>570271</v>
      </c>
      <c r="E284" t="s">
        <v>34</v>
      </c>
      <c r="F284" t="s">
        <v>35</v>
      </c>
    </row>
    <row r="285" spans="1:6" x14ac:dyDescent="0.25">
      <c r="A285">
        <v>2008</v>
      </c>
      <c r="B285">
        <v>1049053</v>
      </c>
      <c r="C285">
        <v>516088</v>
      </c>
      <c r="D285">
        <v>532965</v>
      </c>
      <c r="E285" t="s">
        <v>36</v>
      </c>
      <c r="F285" t="s">
        <v>36</v>
      </c>
    </row>
    <row r="286" spans="1:6" x14ac:dyDescent="0.25">
      <c r="A286">
        <v>2008</v>
      </c>
      <c r="B286">
        <v>1088061</v>
      </c>
      <c r="C286">
        <v>553144</v>
      </c>
      <c r="D286">
        <v>534917</v>
      </c>
      <c r="E286" t="s">
        <v>37</v>
      </c>
      <c r="F286" t="s">
        <v>37</v>
      </c>
    </row>
    <row r="287" spans="1:6" x14ac:dyDescent="0.25">
      <c r="A287">
        <v>2008</v>
      </c>
      <c r="B287">
        <v>1246219</v>
      </c>
      <c r="C287">
        <v>708835</v>
      </c>
      <c r="D287">
        <v>537384</v>
      </c>
      <c r="E287" t="s">
        <v>38</v>
      </c>
      <c r="F287" t="s">
        <v>38</v>
      </c>
    </row>
    <row r="288" spans="1:6" x14ac:dyDescent="0.25">
      <c r="A288">
        <v>2009</v>
      </c>
      <c r="B288">
        <v>999150</v>
      </c>
      <c r="C288">
        <v>505143</v>
      </c>
      <c r="D288">
        <v>494007</v>
      </c>
      <c r="E288" t="s">
        <v>5</v>
      </c>
      <c r="F288" t="s">
        <v>5</v>
      </c>
    </row>
    <row r="289" spans="1:6" x14ac:dyDescent="0.25">
      <c r="A289">
        <v>2009</v>
      </c>
      <c r="B289">
        <v>1126660</v>
      </c>
      <c r="C289">
        <v>545389</v>
      </c>
      <c r="D289">
        <v>581271</v>
      </c>
      <c r="E289" t="s">
        <v>6</v>
      </c>
      <c r="F289" t="s">
        <v>6</v>
      </c>
    </row>
    <row r="290" spans="1:6" x14ac:dyDescent="0.25">
      <c r="A290">
        <v>2009</v>
      </c>
      <c r="B290">
        <v>1074077</v>
      </c>
      <c r="C290">
        <v>568660</v>
      </c>
      <c r="D290">
        <v>505417</v>
      </c>
      <c r="E290" t="s">
        <v>7</v>
      </c>
      <c r="F290" t="s">
        <v>7</v>
      </c>
    </row>
    <row r="291" spans="1:6" x14ac:dyDescent="0.25">
      <c r="A291">
        <v>2009</v>
      </c>
      <c r="B291">
        <v>1080744</v>
      </c>
      <c r="C291">
        <v>542465</v>
      </c>
      <c r="D291">
        <v>538279</v>
      </c>
      <c r="E291" t="s">
        <v>8</v>
      </c>
      <c r="F291" t="s">
        <v>8</v>
      </c>
    </row>
    <row r="292" spans="1:6" x14ac:dyDescent="0.25">
      <c r="A292">
        <v>2009</v>
      </c>
      <c r="B292">
        <v>1162625</v>
      </c>
      <c r="C292">
        <v>586314</v>
      </c>
      <c r="D292">
        <v>576311</v>
      </c>
      <c r="E292" t="s">
        <v>9</v>
      </c>
      <c r="F292" t="s">
        <v>9</v>
      </c>
    </row>
    <row r="293" spans="1:6" x14ac:dyDescent="0.25">
      <c r="A293">
        <v>2009</v>
      </c>
      <c r="B293">
        <v>1031114</v>
      </c>
      <c r="C293">
        <v>498000</v>
      </c>
      <c r="D293">
        <v>533114</v>
      </c>
      <c r="E293" t="s">
        <v>10</v>
      </c>
      <c r="F293" t="s">
        <v>10</v>
      </c>
    </row>
    <row r="294" spans="1:6" x14ac:dyDescent="0.25">
      <c r="A294">
        <v>2009</v>
      </c>
      <c r="B294">
        <v>1035068</v>
      </c>
      <c r="C294">
        <v>512032</v>
      </c>
      <c r="D294">
        <v>523036</v>
      </c>
      <c r="E294" t="s">
        <v>11</v>
      </c>
      <c r="F294" t="s">
        <v>11</v>
      </c>
    </row>
    <row r="295" spans="1:6" x14ac:dyDescent="0.25">
      <c r="A295">
        <v>2009</v>
      </c>
      <c r="B295">
        <v>1054215</v>
      </c>
      <c r="C295">
        <v>551110</v>
      </c>
      <c r="D295">
        <v>503105</v>
      </c>
      <c r="E295" t="s">
        <v>12</v>
      </c>
      <c r="F295" t="s">
        <v>12</v>
      </c>
    </row>
    <row r="296" spans="1:6" x14ac:dyDescent="0.25">
      <c r="A296">
        <v>2009</v>
      </c>
      <c r="B296">
        <v>1307231</v>
      </c>
      <c r="C296">
        <v>718055</v>
      </c>
      <c r="D296">
        <v>589176</v>
      </c>
      <c r="E296" t="s">
        <v>13</v>
      </c>
      <c r="F296" t="s">
        <v>13</v>
      </c>
    </row>
    <row r="297" spans="1:6" x14ac:dyDescent="0.25">
      <c r="A297">
        <v>2009</v>
      </c>
      <c r="B297">
        <v>1139659</v>
      </c>
      <c r="C297">
        <v>600928</v>
      </c>
      <c r="D297">
        <v>538731</v>
      </c>
      <c r="E297" t="s">
        <v>14</v>
      </c>
      <c r="F297" t="s">
        <v>14</v>
      </c>
    </row>
    <row r="298" spans="1:6" x14ac:dyDescent="0.25">
      <c r="A298">
        <v>2009</v>
      </c>
      <c r="B298">
        <v>931681</v>
      </c>
      <c r="C298">
        <v>395162</v>
      </c>
      <c r="D298">
        <v>536519</v>
      </c>
      <c r="E298" t="s">
        <v>15</v>
      </c>
      <c r="F298" t="s">
        <v>15</v>
      </c>
    </row>
    <row r="299" spans="1:6" x14ac:dyDescent="0.25">
      <c r="A299">
        <v>2009</v>
      </c>
      <c r="B299">
        <v>1067183</v>
      </c>
      <c r="C299">
        <v>565666</v>
      </c>
      <c r="D299">
        <v>501517</v>
      </c>
      <c r="E299" t="s">
        <v>16</v>
      </c>
      <c r="F299" t="s">
        <v>16</v>
      </c>
    </row>
    <row r="300" spans="1:6" x14ac:dyDescent="0.25">
      <c r="A300">
        <v>2009</v>
      </c>
      <c r="B300">
        <v>1049850</v>
      </c>
      <c r="C300">
        <v>564864</v>
      </c>
      <c r="D300">
        <v>484986</v>
      </c>
      <c r="E300" t="s">
        <v>39</v>
      </c>
      <c r="F300" t="s">
        <v>39</v>
      </c>
    </row>
    <row r="301" spans="1:6" x14ac:dyDescent="0.25">
      <c r="A301">
        <v>2009</v>
      </c>
      <c r="B301">
        <v>1066479</v>
      </c>
      <c r="C301">
        <v>532398</v>
      </c>
      <c r="D301">
        <v>534081</v>
      </c>
      <c r="E301" t="s">
        <v>17</v>
      </c>
      <c r="F301" t="s">
        <v>17</v>
      </c>
    </row>
    <row r="302" spans="1:6" x14ac:dyDescent="0.25">
      <c r="A302">
        <v>2009</v>
      </c>
      <c r="B302">
        <v>951161</v>
      </c>
      <c r="C302">
        <v>397214</v>
      </c>
      <c r="D302">
        <v>553947</v>
      </c>
      <c r="E302" t="s">
        <v>18</v>
      </c>
      <c r="F302" t="s">
        <v>18</v>
      </c>
    </row>
    <row r="303" spans="1:6" x14ac:dyDescent="0.25">
      <c r="A303">
        <v>2009</v>
      </c>
      <c r="B303">
        <v>1049533</v>
      </c>
      <c r="C303">
        <v>540114</v>
      </c>
      <c r="D303">
        <v>509419</v>
      </c>
      <c r="E303" t="s">
        <v>19</v>
      </c>
      <c r="F303" t="s">
        <v>19</v>
      </c>
    </row>
    <row r="304" spans="1:6" x14ac:dyDescent="0.25">
      <c r="A304">
        <v>2009</v>
      </c>
      <c r="B304">
        <v>1094695</v>
      </c>
      <c r="C304">
        <v>540342</v>
      </c>
      <c r="D304">
        <v>554353</v>
      </c>
      <c r="E304" t="s">
        <v>20</v>
      </c>
      <c r="F304" t="s">
        <v>20</v>
      </c>
    </row>
    <row r="305" spans="1:6" x14ac:dyDescent="0.25">
      <c r="A305">
        <v>2009</v>
      </c>
      <c r="B305">
        <v>1034123</v>
      </c>
      <c r="C305">
        <v>510203</v>
      </c>
      <c r="D305">
        <v>523920</v>
      </c>
      <c r="E305" t="s">
        <v>21</v>
      </c>
      <c r="F305" t="s">
        <v>21</v>
      </c>
    </row>
    <row r="306" spans="1:6" x14ac:dyDescent="0.25">
      <c r="A306">
        <v>2009</v>
      </c>
      <c r="B306">
        <v>1138000</v>
      </c>
      <c r="C306">
        <v>550048</v>
      </c>
      <c r="D306">
        <v>587952</v>
      </c>
      <c r="E306" t="s">
        <v>22</v>
      </c>
      <c r="F306" t="s">
        <v>22</v>
      </c>
    </row>
    <row r="307" spans="1:6" x14ac:dyDescent="0.25">
      <c r="A307">
        <v>2009</v>
      </c>
      <c r="B307">
        <v>1116009</v>
      </c>
      <c r="C307">
        <v>560840</v>
      </c>
      <c r="D307">
        <v>555169</v>
      </c>
      <c r="E307" t="s">
        <v>23</v>
      </c>
      <c r="F307" t="s">
        <v>23</v>
      </c>
    </row>
    <row r="308" spans="1:6" x14ac:dyDescent="0.25">
      <c r="A308">
        <v>2009</v>
      </c>
      <c r="B308">
        <v>1223927</v>
      </c>
      <c r="C308">
        <v>629615</v>
      </c>
      <c r="D308">
        <v>594312</v>
      </c>
      <c r="E308" t="s">
        <v>24</v>
      </c>
      <c r="F308" t="s">
        <v>24</v>
      </c>
    </row>
    <row r="309" spans="1:6" x14ac:dyDescent="0.25">
      <c r="A309">
        <v>2009</v>
      </c>
      <c r="B309">
        <v>1115944</v>
      </c>
      <c r="C309">
        <v>616420</v>
      </c>
      <c r="D309">
        <v>499524</v>
      </c>
      <c r="E309" t="s">
        <v>25</v>
      </c>
      <c r="F309" t="s">
        <v>25</v>
      </c>
    </row>
    <row r="310" spans="1:6" x14ac:dyDescent="0.25">
      <c r="A310">
        <v>2009</v>
      </c>
      <c r="B310">
        <v>927539</v>
      </c>
      <c r="C310">
        <v>354276</v>
      </c>
      <c r="D310">
        <v>573263</v>
      </c>
      <c r="E310" t="s">
        <v>26</v>
      </c>
      <c r="F310" t="s">
        <v>27</v>
      </c>
    </row>
    <row r="311" spans="1:6" x14ac:dyDescent="0.25">
      <c r="A311">
        <v>2009</v>
      </c>
      <c r="B311">
        <v>1144895</v>
      </c>
      <c r="C311">
        <v>553152</v>
      </c>
      <c r="D311">
        <v>591743</v>
      </c>
      <c r="E311" t="s">
        <v>28</v>
      </c>
      <c r="F311" t="s">
        <v>28</v>
      </c>
    </row>
    <row r="312" spans="1:6" x14ac:dyDescent="0.25">
      <c r="A312">
        <v>2009</v>
      </c>
      <c r="B312">
        <v>1051386</v>
      </c>
      <c r="C312">
        <v>507882</v>
      </c>
      <c r="D312">
        <v>543504</v>
      </c>
      <c r="E312" t="s">
        <v>29</v>
      </c>
      <c r="F312" t="s">
        <v>29</v>
      </c>
    </row>
    <row r="313" spans="1:6" x14ac:dyDescent="0.25">
      <c r="A313">
        <v>2009</v>
      </c>
      <c r="B313">
        <v>1116821</v>
      </c>
      <c r="C313">
        <v>540345</v>
      </c>
      <c r="D313">
        <v>576476</v>
      </c>
      <c r="E313" t="s">
        <v>30</v>
      </c>
      <c r="F313" t="s">
        <v>31</v>
      </c>
    </row>
    <row r="314" spans="1:6" x14ac:dyDescent="0.25">
      <c r="A314">
        <v>2009</v>
      </c>
      <c r="B314">
        <v>1075599</v>
      </c>
      <c r="C314">
        <v>557856</v>
      </c>
      <c r="D314">
        <v>517743</v>
      </c>
      <c r="E314" t="s">
        <v>32</v>
      </c>
      <c r="F314" t="s">
        <v>32</v>
      </c>
    </row>
    <row r="315" spans="1:6" x14ac:dyDescent="0.25">
      <c r="A315">
        <v>2009</v>
      </c>
      <c r="B315">
        <v>1070287</v>
      </c>
      <c r="C315">
        <v>539141</v>
      </c>
      <c r="D315">
        <v>531146</v>
      </c>
      <c r="E315" t="s">
        <v>33</v>
      </c>
      <c r="F315" t="s">
        <v>33</v>
      </c>
    </row>
    <row r="316" spans="1:6" x14ac:dyDescent="0.25">
      <c r="A316">
        <v>2009</v>
      </c>
      <c r="B316">
        <v>943627</v>
      </c>
      <c r="C316">
        <v>441901</v>
      </c>
      <c r="D316">
        <v>501726</v>
      </c>
      <c r="E316" t="s">
        <v>34</v>
      </c>
      <c r="F316" t="s">
        <v>35</v>
      </c>
    </row>
    <row r="317" spans="1:6" x14ac:dyDescent="0.25">
      <c r="A317">
        <v>2009</v>
      </c>
      <c r="B317">
        <v>1093669</v>
      </c>
      <c r="C317">
        <v>525194</v>
      </c>
      <c r="D317">
        <v>568475</v>
      </c>
      <c r="E317" t="s">
        <v>36</v>
      </c>
      <c r="F317" t="s">
        <v>36</v>
      </c>
    </row>
    <row r="318" spans="1:6" x14ac:dyDescent="0.25">
      <c r="A318">
        <v>2009</v>
      </c>
      <c r="B318">
        <v>1086095</v>
      </c>
      <c r="C318">
        <v>553144</v>
      </c>
      <c r="D318">
        <v>532951</v>
      </c>
      <c r="E318" t="s">
        <v>37</v>
      </c>
      <c r="F318" t="s">
        <v>37</v>
      </c>
    </row>
    <row r="319" spans="1:6" x14ac:dyDescent="0.25">
      <c r="A319">
        <v>2009</v>
      </c>
      <c r="B319">
        <v>1205404</v>
      </c>
      <c r="C319">
        <v>678352</v>
      </c>
      <c r="D319">
        <v>527052</v>
      </c>
      <c r="E319" t="s">
        <v>38</v>
      </c>
      <c r="F319" t="s">
        <v>38</v>
      </c>
    </row>
    <row r="320" spans="1:6" x14ac:dyDescent="0.25">
      <c r="A320">
        <v>2010</v>
      </c>
      <c r="B320">
        <v>1022730</v>
      </c>
      <c r="C320">
        <v>502197</v>
      </c>
      <c r="D320">
        <v>520533</v>
      </c>
      <c r="E320" t="s">
        <v>5</v>
      </c>
      <c r="F320" t="s">
        <v>5</v>
      </c>
    </row>
    <row r="321" spans="1:6" x14ac:dyDescent="0.25">
      <c r="A321">
        <v>2010</v>
      </c>
      <c r="B321">
        <v>1056190</v>
      </c>
      <c r="C321">
        <v>542800</v>
      </c>
      <c r="D321">
        <v>513390</v>
      </c>
      <c r="E321" t="s">
        <v>6</v>
      </c>
      <c r="F321" t="s">
        <v>6</v>
      </c>
    </row>
    <row r="322" spans="1:6" x14ac:dyDescent="0.25">
      <c r="A322">
        <v>2010</v>
      </c>
      <c r="B322">
        <v>1123436</v>
      </c>
      <c r="C322">
        <v>569817</v>
      </c>
      <c r="D322">
        <v>553619</v>
      </c>
      <c r="E322" t="s">
        <v>7</v>
      </c>
      <c r="F322" t="s">
        <v>7</v>
      </c>
    </row>
    <row r="323" spans="1:6" x14ac:dyDescent="0.25">
      <c r="A323">
        <v>2010</v>
      </c>
      <c r="B323">
        <v>1034650</v>
      </c>
      <c r="C323">
        <v>493112</v>
      </c>
      <c r="D323">
        <v>541538</v>
      </c>
      <c r="E323" t="s">
        <v>8</v>
      </c>
      <c r="F323" t="s">
        <v>8</v>
      </c>
    </row>
    <row r="324" spans="1:6" x14ac:dyDescent="0.25">
      <c r="A324">
        <v>2010</v>
      </c>
      <c r="B324">
        <v>1084908</v>
      </c>
      <c r="C324">
        <v>580965</v>
      </c>
      <c r="D324">
        <v>503943</v>
      </c>
      <c r="E324" t="s">
        <v>9</v>
      </c>
      <c r="F324" t="s">
        <v>9</v>
      </c>
    </row>
    <row r="325" spans="1:6" x14ac:dyDescent="0.25">
      <c r="A325">
        <v>2010</v>
      </c>
      <c r="B325">
        <v>1022863</v>
      </c>
      <c r="C325">
        <v>497561</v>
      </c>
      <c r="D325">
        <v>525302</v>
      </c>
      <c r="E325" t="s">
        <v>10</v>
      </c>
      <c r="F325" t="s">
        <v>10</v>
      </c>
    </row>
    <row r="326" spans="1:6" x14ac:dyDescent="0.25">
      <c r="A326">
        <v>2010</v>
      </c>
      <c r="B326">
        <v>1033852</v>
      </c>
      <c r="C326">
        <v>482917</v>
      </c>
      <c r="D326">
        <v>550935</v>
      </c>
      <c r="E326" t="s">
        <v>11</v>
      </c>
      <c r="F326" t="s">
        <v>11</v>
      </c>
    </row>
    <row r="327" spans="1:6" x14ac:dyDescent="0.25">
      <c r="A327">
        <v>2010</v>
      </c>
      <c r="B327">
        <v>1017907</v>
      </c>
      <c r="C327">
        <v>528933</v>
      </c>
      <c r="D327">
        <v>488974</v>
      </c>
      <c r="E327" t="s">
        <v>12</v>
      </c>
      <c r="F327" t="s">
        <v>12</v>
      </c>
    </row>
    <row r="328" spans="1:6" x14ac:dyDescent="0.25">
      <c r="A328">
        <v>2010</v>
      </c>
      <c r="B328">
        <v>1277973</v>
      </c>
      <c r="C328">
        <v>696377</v>
      </c>
      <c r="D328">
        <v>581596</v>
      </c>
      <c r="E328" t="s">
        <v>13</v>
      </c>
      <c r="F328" t="s">
        <v>13</v>
      </c>
    </row>
    <row r="329" spans="1:6" x14ac:dyDescent="0.25">
      <c r="A329">
        <v>2010</v>
      </c>
      <c r="B329">
        <v>1129448</v>
      </c>
      <c r="C329">
        <v>599264</v>
      </c>
      <c r="D329">
        <v>530184</v>
      </c>
      <c r="E329" t="s">
        <v>14</v>
      </c>
      <c r="F329" t="s">
        <v>14</v>
      </c>
    </row>
    <row r="330" spans="1:6" x14ac:dyDescent="0.25">
      <c r="A330">
        <v>2010</v>
      </c>
      <c r="B330">
        <v>977218</v>
      </c>
      <c r="C330">
        <v>450286</v>
      </c>
      <c r="D330">
        <v>526932</v>
      </c>
      <c r="E330" t="s">
        <v>15</v>
      </c>
      <c r="F330" t="s">
        <v>15</v>
      </c>
    </row>
    <row r="331" spans="1:6" x14ac:dyDescent="0.25">
      <c r="A331">
        <v>2010</v>
      </c>
      <c r="B331">
        <v>1122668</v>
      </c>
      <c r="C331">
        <v>566362</v>
      </c>
      <c r="D331">
        <v>556306</v>
      </c>
      <c r="E331" t="s">
        <v>16</v>
      </c>
      <c r="F331" t="s">
        <v>16</v>
      </c>
    </row>
    <row r="332" spans="1:6" x14ac:dyDescent="0.25">
      <c r="A332">
        <v>2010</v>
      </c>
      <c r="B332">
        <v>1108625</v>
      </c>
      <c r="C332">
        <v>568643</v>
      </c>
      <c r="D332">
        <v>539982</v>
      </c>
      <c r="E332" t="s">
        <v>39</v>
      </c>
      <c r="F332" t="s">
        <v>39</v>
      </c>
    </row>
    <row r="333" spans="1:6" x14ac:dyDescent="0.25">
      <c r="A333">
        <v>2010</v>
      </c>
      <c r="B333">
        <v>1093781</v>
      </c>
      <c r="C333">
        <v>535802</v>
      </c>
      <c r="D333">
        <v>557979</v>
      </c>
      <c r="E333" t="s">
        <v>17</v>
      </c>
      <c r="F333" t="s">
        <v>17</v>
      </c>
    </row>
    <row r="334" spans="1:6" x14ac:dyDescent="0.25">
      <c r="A334">
        <v>2010</v>
      </c>
      <c r="B334">
        <v>1061603</v>
      </c>
      <c r="C334">
        <v>504262</v>
      </c>
      <c r="D334">
        <v>557341</v>
      </c>
      <c r="E334" t="s">
        <v>18</v>
      </c>
      <c r="F334" t="s">
        <v>18</v>
      </c>
    </row>
    <row r="335" spans="1:6" x14ac:dyDescent="0.25">
      <c r="A335">
        <v>2010</v>
      </c>
      <c r="B335">
        <v>1069780</v>
      </c>
      <c r="C335">
        <v>541380</v>
      </c>
      <c r="D335">
        <v>528400</v>
      </c>
      <c r="E335" t="s">
        <v>19</v>
      </c>
      <c r="F335" t="s">
        <v>19</v>
      </c>
    </row>
    <row r="336" spans="1:6" x14ac:dyDescent="0.25">
      <c r="A336">
        <v>2010</v>
      </c>
      <c r="B336">
        <v>1077049</v>
      </c>
      <c r="C336">
        <v>541959</v>
      </c>
      <c r="D336">
        <v>535090</v>
      </c>
      <c r="E336" t="s">
        <v>20</v>
      </c>
      <c r="F336" t="s">
        <v>20</v>
      </c>
    </row>
    <row r="337" spans="1:6" x14ac:dyDescent="0.25">
      <c r="A337">
        <v>2010</v>
      </c>
      <c r="B337">
        <v>1029797</v>
      </c>
      <c r="C337">
        <v>470009</v>
      </c>
      <c r="D337">
        <v>559788</v>
      </c>
      <c r="E337" t="s">
        <v>21</v>
      </c>
      <c r="F337" t="s">
        <v>21</v>
      </c>
    </row>
    <row r="338" spans="1:6" x14ac:dyDescent="0.25">
      <c r="A338">
        <v>2010</v>
      </c>
      <c r="B338">
        <v>1088753</v>
      </c>
      <c r="C338">
        <v>550048</v>
      </c>
      <c r="D338">
        <v>538705</v>
      </c>
      <c r="E338" t="s">
        <v>22</v>
      </c>
      <c r="F338" t="s">
        <v>22</v>
      </c>
    </row>
    <row r="339" spans="1:6" x14ac:dyDescent="0.25">
      <c r="A339">
        <v>2010</v>
      </c>
      <c r="B339">
        <v>1113131</v>
      </c>
      <c r="C339">
        <v>560304</v>
      </c>
      <c r="D339">
        <v>552827</v>
      </c>
      <c r="E339" t="s">
        <v>23</v>
      </c>
      <c r="F339" t="s">
        <v>23</v>
      </c>
    </row>
    <row r="340" spans="1:6" x14ac:dyDescent="0.25">
      <c r="A340">
        <v>2010</v>
      </c>
      <c r="B340">
        <v>1190095</v>
      </c>
      <c r="C340">
        <v>631156</v>
      </c>
      <c r="D340">
        <v>558939</v>
      </c>
      <c r="E340" t="s">
        <v>24</v>
      </c>
      <c r="F340" t="s">
        <v>24</v>
      </c>
    </row>
    <row r="341" spans="1:6" x14ac:dyDescent="0.25">
      <c r="A341">
        <v>2010</v>
      </c>
      <c r="B341">
        <v>1163375</v>
      </c>
      <c r="C341">
        <v>628768</v>
      </c>
      <c r="D341">
        <v>534607</v>
      </c>
      <c r="E341" t="s">
        <v>25</v>
      </c>
      <c r="F341" t="s">
        <v>25</v>
      </c>
    </row>
    <row r="342" spans="1:6" x14ac:dyDescent="0.25">
      <c r="A342">
        <v>2010</v>
      </c>
      <c r="B342">
        <v>911382</v>
      </c>
      <c r="C342">
        <v>371448</v>
      </c>
      <c r="D342">
        <v>539934</v>
      </c>
      <c r="E342" t="s">
        <v>26</v>
      </c>
      <c r="F342" t="s">
        <v>27</v>
      </c>
    </row>
    <row r="343" spans="1:6" x14ac:dyDescent="0.25">
      <c r="A343">
        <v>2010</v>
      </c>
      <c r="B343">
        <v>1125926</v>
      </c>
      <c r="C343">
        <v>553152</v>
      </c>
      <c r="D343">
        <v>572774</v>
      </c>
      <c r="E343" t="s">
        <v>28</v>
      </c>
      <c r="F343" t="s">
        <v>28</v>
      </c>
    </row>
    <row r="344" spans="1:6" x14ac:dyDescent="0.25">
      <c r="A344">
        <v>2010</v>
      </c>
      <c r="B344">
        <v>1049715</v>
      </c>
      <c r="C344">
        <v>504669</v>
      </c>
      <c r="D344">
        <v>545046</v>
      </c>
      <c r="E344" t="s">
        <v>29</v>
      </c>
      <c r="F344" t="s">
        <v>29</v>
      </c>
    </row>
    <row r="345" spans="1:6" x14ac:dyDescent="0.25">
      <c r="A345">
        <v>2010</v>
      </c>
      <c r="B345">
        <v>1028715</v>
      </c>
      <c r="C345">
        <v>524241</v>
      </c>
      <c r="D345">
        <v>504474</v>
      </c>
      <c r="E345" t="s">
        <v>30</v>
      </c>
      <c r="F345" t="s">
        <v>31</v>
      </c>
    </row>
    <row r="346" spans="1:6" x14ac:dyDescent="0.25">
      <c r="A346">
        <v>2010</v>
      </c>
      <c r="B346">
        <v>1100435</v>
      </c>
      <c r="C346">
        <v>572065</v>
      </c>
      <c r="D346">
        <v>528370</v>
      </c>
      <c r="E346" t="s">
        <v>32</v>
      </c>
      <c r="F346" t="s">
        <v>32</v>
      </c>
    </row>
    <row r="347" spans="1:6" x14ac:dyDescent="0.25">
      <c r="A347">
        <v>2010</v>
      </c>
      <c r="B347">
        <v>1009483</v>
      </c>
      <c r="C347">
        <v>535942</v>
      </c>
      <c r="D347">
        <v>473541</v>
      </c>
      <c r="E347" t="s">
        <v>33</v>
      </c>
      <c r="F347" t="s">
        <v>33</v>
      </c>
    </row>
    <row r="348" spans="1:6" x14ac:dyDescent="0.25">
      <c r="A348">
        <v>2010</v>
      </c>
      <c r="B348">
        <v>911195</v>
      </c>
      <c r="C348">
        <v>423383</v>
      </c>
      <c r="D348">
        <v>487812</v>
      </c>
      <c r="E348" t="s">
        <v>34</v>
      </c>
      <c r="F348" t="s">
        <v>35</v>
      </c>
    </row>
    <row r="349" spans="1:6" x14ac:dyDescent="0.25">
      <c r="A349">
        <v>2010</v>
      </c>
      <c r="B349">
        <v>937014</v>
      </c>
      <c r="C349">
        <v>394513</v>
      </c>
      <c r="D349">
        <v>542501</v>
      </c>
      <c r="E349" t="s">
        <v>36</v>
      </c>
      <c r="F349" t="s">
        <v>36</v>
      </c>
    </row>
    <row r="350" spans="1:6" x14ac:dyDescent="0.25">
      <c r="A350">
        <v>2010</v>
      </c>
      <c r="B350">
        <v>1114265</v>
      </c>
      <c r="C350">
        <v>553144</v>
      </c>
      <c r="D350">
        <v>561121</v>
      </c>
      <c r="E350" t="s">
        <v>37</v>
      </c>
      <c r="F350" t="s">
        <v>37</v>
      </c>
    </row>
    <row r="351" spans="1:6" x14ac:dyDescent="0.25">
      <c r="A351">
        <v>2010</v>
      </c>
      <c r="B351">
        <v>1193756</v>
      </c>
      <c r="C351">
        <v>665380</v>
      </c>
      <c r="D351">
        <v>528376</v>
      </c>
      <c r="E351" t="s">
        <v>38</v>
      </c>
      <c r="F351" t="s">
        <v>38</v>
      </c>
    </row>
    <row r="352" spans="1:6" x14ac:dyDescent="0.25">
      <c r="A352">
        <v>2011</v>
      </c>
      <c r="B352">
        <v>1001663</v>
      </c>
      <c r="C352">
        <v>489455</v>
      </c>
      <c r="D352">
        <v>512208</v>
      </c>
      <c r="E352" t="s">
        <v>5</v>
      </c>
      <c r="F352" t="s">
        <v>5</v>
      </c>
    </row>
    <row r="353" spans="1:6" x14ac:dyDescent="0.25">
      <c r="A353">
        <v>2011</v>
      </c>
      <c r="B353">
        <v>1073420</v>
      </c>
      <c r="C353">
        <v>551892</v>
      </c>
      <c r="D353">
        <v>521528</v>
      </c>
      <c r="E353" t="s">
        <v>6</v>
      </c>
      <c r="F353" t="s">
        <v>6</v>
      </c>
    </row>
    <row r="354" spans="1:6" x14ac:dyDescent="0.25">
      <c r="A354">
        <v>2011</v>
      </c>
      <c r="B354">
        <v>1083902</v>
      </c>
      <c r="C354">
        <v>569792</v>
      </c>
      <c r="D354">
        <v>514110</v>
      </c>
      <c r="E354" t="s">
        <v>7</v>
      </c>
      <c r="F354" t="s">
        <v>7</v>
      </c>
    </row>
    <row r="355" spans="1:6" x14ac:dyDescent="0.25">
      <c r="A355">
        <v>2011</v>
      </c>
      <c r="B355">
        <v>1032609</v>
      </c>
      <c r="C355">
        <v>490443</v>
      </c>
      <c r="D355">
        <v>542166</v>
      </c>
      <c r="E355" t="s">
        <v>8</v>
      </c>
      <c r="F355" t="s">
        <v>8</v>
      </c>
    </row>
    <row r="356" spans="1:6" x14ac:dyDescent="0.25">
      <c r="A356">
        <v>2011</v>
      </c>
      <c r="B356">
        <v>1098587</v>
      </c>
      <c r="C356">
        <v>578342</v>
      </c>
      <c r="D356">
        <v>520245</v>
      </c>
      <c r="E356" t="s">
        <v>9</v>
      </c>
      <c r="F356" t="s">
        <v>9</v>
      </c>
    </row>
    <row r="357" spans="1:6" x14ac:dyDescent="0.25">
      <c r="A357">
        <v>2011</v>
      </c>
      <c r="B357">
        <v>1053343</v>
      </c>
      <c r="C357">
        <v>497166</v>
      </c>
      <c r="D357">
        <v>556177</v>
      </c>
      <c r="E357" t="s">
        <v>10</v>
      </c>
      <c r="F357" t="s">
        <v>10</v>
      </c>
    </row>
    <row r="358" spans="1:6" x14ac:dyDescent="0.25">
      <c r="A358">
        <v>2011</v>
      </c>
      <c r="B358">
        <v>923005</v>
      </c>
      <c r="C358">
        <v>394009</v>
      </c>
      <c r="D358">
        <v>528996</v>
      </c>
      <c r="E358" t="s">
        <v>11</v>
      </c>
      <c r="F358" t="s">
        <v>11</v>
      </c>
    </row>
    <row r="359" spans="1:6" x14ac:dyDescent="0.25">
      <c r="A359">
        <v>2011</v>
      </c>
      <c r="B359">
        <v>1030992</v>
      </c>
      <c r="C359">
        <v>526874</v>
      </c>
      <c r="D359">
        <v>504118</v>
      </c>
      <c r="E359" t="s">
        <v>12</v>
      </c>
      <c r="F359" t="s">
        <v>12</v>
      </c>
    </row>
    <row r="360" spans="1:6" x14ac:dyDescent="0.25">
      <c r="A360">
        <v>2011</v>
      </c>
      <c r="B360">
        <v>1258971</v>
      </c>
      <c r="C360">
        <v>684096</v>
      </c>
      <c r="D360">
        <v>574875</v>
      </c>
      <c r="E360" t="s">
        <v>13</v>
      </c>
      <c r="F360" t="s">
        <v>13</v>
      </c>
    </row>
    <row r="361" spans="1:6" x14ac:dyDescent="0.25">
      <c r="A361">
        <v>2011</v>
      </c>
      <c r="B361">
        <v>1109610</v>
      </c>
      <c r="C361">
        <v>602618</v>
      </c>
      <c r="D361">
        <v>506992</v>
      </c>
      <c r="E361" t="s">
        <v>14</v>
      </c>
      <c r="F361" t="s">
        <v>14</v>
      </c>
    </row>
    <row r="362" spans="1:6" x14ac:dyDescent="0.25">
      <c r="A362">
        <v>2011</v>
      </c>
      <c r="B362">
        <v>1041580</v>
      </c>
      <c r="C362">
        <v>509940</v>
      </c>
      <c r="D362">
        <v>531640</v>
      </c>
      <c r="E362" t="s">
        <v>15</v>
      </c>
      <c r="F362" t="s">
        <v>15</v>
      </c>
    </row>
    <row r="363" spans="1:6" x14ac:dyDescent="0.25">
      <c r="A363">
        <v>2011</v>
      </c>
      <c r="B363">
        <v>1123023</v>
      </c>
      <c r="C363">
        <v>564097</v>
      </c>
      <c r="D363">
        <v>558926</v>
      </c>
      <c r="E363" t="s">
        <v>16</v>
      </c>
      <c r="F363" t="s">
        <v>16</v>
      </c>
    </row>
    <row r="364" spans="1:6" x14ac:dyDescent="0.25">
      <c r="A364">
        <v>2011</v>
      </c>
      <c r="B364">
        <v>1059702</v>
      </c>
      <c r="C364">
        <v>571969</v>
      </c>
      <c r="D364">
        <v>487733</v>
      </c>
      <c r="E364" t="s">
        <v>39</v>
      </c>
      <c r="F364" t="s">
        <v>39</v>
      </c>
    </row>
    <row r="365" spans="1:6" x14ac:dyDescent="0.25">
      <c r="A365">
        <v>2011</v>
      </c>
      <c r="B365">
        <v>1050690</v>
      </c>
      <c r="C365">
        <v>518627</v>
      </c>
      <c r="D365">
        <v>532063</v>
      </c>
      <c r="E365" t="s">
        <v>17</v>
      </c>
      <c r="F365" t="s">
        <v>17</v>
      </c>
    </row>
    <row r="366" spans="1:6" x14ac:dyDescent="0.25">
      <c r="A366">
        <v>2011</v>
      </c>
      <c r="B366">
        <v>1049655</v>
      </c>
      <c r="C366">
        <v>498655</v>
      </c>
      <c r="D366">
        <v>551000</v>
      </c>
      <c r="E366" t="s">
        <v>18</v>
      </c>
      <c r="F366" t="s">
        <v>18</v>
      </c>
    </row>
    <row r="367" spans="1:6" x14ac:dyDescent="0.25">
      <c r="A367">
        <v>2011</v>
      </c>
      <c r="B367">
        <v>1107206</v>
      </c>
      <c r="C367">
        <v>576659</v>
      </c>
      <c r="D367">
        <v>530547</v>
      </c>
      <c r="E367" t="s">
        <v>19</v>
      </c>
      <c r="F367" t="s">
        <v>19</v>
      </c>
    </row>
    <row r="368" spans="1:6" x14ac:dyDescent="0.25">
      <c r="A368">
        <v>2011</v>
      </c>
      <c r="B368">
        <v>1064381</v>
      </c>
      <c r="C368">
        <v>487089</v>
      </c>
      <c r="D368">
        <v>577292</v>
      </c>
      <c r="E368" t="s">
        <v>20</v>
      </c>
      <c r="F368" t="s">
        <v>20</v>
      </c>
    </row>
    <row r="369" spans="1:6" x14ac:dyDescent="0.25">
      <c r="A369">
        <v>2011</v>
      </c>
      <c r="B369">
        <v>1047585</v>
      </c>
      <c r="C369">
        <v>502529</v>
      </c>
      <c r="D369">
        <v>545056</v>
      </c>
      <c r="E369" t="s">
        <v>21</v>
      </c>
      <c r="F369" t="s">
        <v>21</v>
      </c>
    </row>
    <row r="370" spans="1:6" x14ac:dyDescent="0.25">
      <c r="A370">
        <v>2011</v>
      </c>
      <c r="B370">
        <v>1114691</v>
      </c>
      <c r="C370">
        <v>550048</v>
      </c>
      <c r="D370">
        <v>564643</v>
      </c>
      <c r="E370" t="s">
        <v>22</v>
      </c>
      <c r="F370" t="s">
        <v>22</v>
      </c>
    </row>
    <row r="371" spans="1:6" x14ac:dyDescent="0.25">
      <c r="A371">
        <v>2011</v>
      </c>
      <c r="B371">
        <v>1105934</v>
      </c>
      <c r="C371">
        <v>584335</v>
      </c>
      <c r="D371">
        <v>521599</v>
      </c>
      <c r="E371" t="s">
        <v>23</v>
      </c>
      <c r="F371" t="s">
        <v>23</v>
      </c>
    </row>
    <row r="372" spans="1:6" x14ac:dyDescent="0.25">
      <c r="A372">
        <v>2011</v>
      </c>
      <c r="B372">
        <v>1232157</v>
      </c>
      <c r="C372">
        <v>635800</v>
      </c>
      <c r="D372">
        <v>596357</v>
      </c>
      <c r="E372" t="s">
        <v>24</v>
      </c>
      <c r="F372" t="s">
        <v>24</v>
      </c>
    </row>
    <row r="373" spans="1:6" x14ac:dyDescent="0.25">
      <c r="A373">
        <v>2011</v>
      </c>
      <c r="B373">
        <v>1187392</v>
      </c>
      <c r="C373">
        <v>631888</v>
      </c>
      <c r="D373">
        <v>555504</v>
      </c>
      <c r="E373" t="s">
        <v>25</v>
      </c>
      <c r="F373" t="s">
        <v>25</v>
      </c>
    </row>
    <row r="374" spans="1:6" x14ac:dyDescent="0.25">
      <c r="A374">
        <v>2011</v>
      </c>
      <c r="B374">
        <v>1018629</v>
      </c>
      <c r="C374">
        <v>473938</v>
      </c>
      <c r="D374">
        <v>544691</v>
      </c>
      <c r="E374" t="s">
        <v>26</v>
      </c>
      <c r="F374" t="s">
        <v>27</v>
      </c>
    </row>
    <row r="375" spans="1:6" x14ac:dyDescent="0.25">
      <c r="A375">
        <v>2011</v>
      </c>
      <c r="B375">
        <v>1129171</v>
      </c>
      <c r="C375">
        <v>553152</v>
      </c>
      <c r="D375">
        <v>576019</v>
      </c>
      <c r="E375" t="s">
        <v>28</v>
      </c>
      <c r="F375" t="s">
        <v>28</v>
      </c>
    </row>
    <row r="376" spans="1:6" x14ac:dyDescent="0.25">
      <c r="A376">
        <v>2011</v>
      </c>
      <c r="B376">
        <v>1049515</v>
      </c>
      <c r="C376">
        <v>504279</v>
      </c>
      <c r="D376">
        <v>545236</v>
      </c>
      <c r="E376" t="s">
        <v>29</v>
      </c>
      <c r="F376" t="s">
        <v>29</v>
      </c>
    </row>
    <row r="377" spans="1:6" x14ac:dyDescent="0.25">
      <c r="A377">
        <v>2011</v>
      </c>
      <c r="B377">
        <v>1064892</v>
      </c>
      <c r="C377">
        <v>523143</v>
      </c>
      <c r="D377">
        <v>541749</v>
      </c>
      <c r="E377" t="s">
        <v>30</v>
      </c>
      <c r="F377" t="s">
        <v>31</v>
      </c>
    </row>
    <row r="378" spans="1:6" x14ac:dyDescent="0.25">
      <c r="A378">
        <v>2011</v>
      </c>
      <c r="B378">
        <v>1065296</v>
      </c>
      <c r="C378">
        <v>557856</v>
      </c>
      <c r="D378">
        <v>507440</v>
      </c>
      <c r="E378" t="s">
        <v>32</v>
      </c>
      <c r="F378" t="s">
        <v>32</v>
      </c>
    </row>
    <row r="379" spans="1:6" x14ac:dyDescent="0.25">
      <c r="A379">
        <v>2011</v>
      </c>
      <c r="B379">
        <v>1070956</v>
      </c>
      <c r="C379">
        <v>531311</v>
      </c>
      <c r="D379">
        <v>539645</v>
      </c>
      <c r="E379" t="s">
        <v>33</v>
      </c>
      <c r="F379" t="s">
        <v>33</v>
      </c>
    </row>
    <row r="380" spans="1:6" x14ac:dyDescent="0.25">
      <c r="A380">
        <v>2011</v>
      </c>
      <c r="B380">
        <v>1002051</v>
      </c>
      <c r="C380">
        <v>451153</v>
      </c>
      <c r="D380">
        <v>550898</v>
      </c>
      <c r="E380" t="s">
        <v>34</v>
      </c>
      <c r="F380" t="s">
        <v>35</v>
      </c>
    </row>
    <row r="381" spans="1:6" x14ac:dyDescent="0.25">
      <c r="A381">
        <v>2011</v>
      </c>
      <c r="B381">
        <v>1019250</v>
      </c>
      <c r="C381">
        <v>473281</v>
      </c>
      <c r="D381">
        <v>545969</v>
      </c>
      <c r="E381" t="s">
        <v>36</v>
      </c>
      <c r="F381" t="s">
        <v>36</v>
      </c>
    </row>
    <row r="382" spans="1:6" x14ac:dyDescent="0.25">
      <c r="A382">
        <v>2011</v>
      </c>
      <c r="B382">
        <v>1077697</v>
      </c>
      <c r="C382">
        <v>553144</v>
      </c>
      <c r="D382">
        <v>524553</v>
      </c>
      <c r="E382" t="s">
        <v>37</v>
      </c>
      <c r="F382" t="s">
        <v>37</v>
      </c>
    </row>
    <row r="383" spans="1:6" x14ac:dyDescent="0.25">
      <c r="A383">
        <v>2011</v>
      </c>
      <c r="B383">
        <v>1158341</v>
      </c>
      <c r="C383">
        <v>615368</v>
      </c>
      <c r="D383">
        <v>542973</v>
      </c>
      <c r="E383" t="s">
        <v>38</v>
      </c>
      <c r="F383" t="s">
        <v>38</v>
      </c>
    </row>
    <row r="384" spans="1:6" x14ac:dyDescent="0.25">
      <c r="A384">
        <v>2012</v>
      </c>
      <c r="B384">
        <v>1028241</v>
      </c>
      <c r="C384">
        <v>487125</v>
      </c>
      <c r="D384">
        <v>541116</v>
      </c>
      <c r="E384" t="s">
        <v>5</v>
      </c>
      <c r="F384" t="s">
        <v>5</v>
      </c>
    </row>
    <row r="385" spans="1:6" x14ac:dyDescent="0.25">
      <c r="A385">
        <v>2012</v>
      </c>
      <c r="B385">
        <v>1102398</v>
      </c>
      <c r="C385">
        <v>560773</v>
      </c>
      <c r="D385">
        <v>541625</v>
      </c>
      <c r="E385" t="s">
        <v>6</v>
      </c>
      <c r="F385" t="s">
        <v>6</v>
      </c>
    </row>
    <row r="386" spans="1:6" x14ac:dyDescent="0.25">
      <c r="A386">
        <v>2012</v>
      </c>
      <c r="B386">
        <v>1109404</v>
      </c>
      <c r="C386">
        <v>570229</v>
      </c>
      <c r="D386">
        <v>539175</v>
      </c>
      <c r="E386" t="s">
        <v>7</v>
      </c>
      <c r="F386" t="s">
        <v>7</v>
      </c>
    </row>
    <row r="387" spans="1:6" x14ac:dyDescent="0.25">
      <c r="A387">
        <v>2012</v>
      </c>
      <c r="B387">
        <v>1033263</v>
      </c>
      <c r="C387">
        <v>495423</v>
      </c>
      <c r="D387">
        <v>537840</v>
      </c>
      <c r="E387" t="s">
        <v>8</v>
      </c>
      <c r="F387" t="s">
        <v>8</v>
      </c>
    </row>
    <row r="388" spans="1:6" x14ac:dyDescent="0.25">
      <c r="A388">
        <v>2012</v>
      </c>
      <c r="B388">
        <v>1108455</v>
      </c>
      <c r="C388">
        <v>586347</v>
      </c>
      <c r="D388">
        <v>522108</v>
      </c>
      <c r="E388" t="s">
        <v>9</v>
      </c>
      <c r="F388" t="s">
        <v>9</v>
      </c>
    </row>
    <row r="389" spans="1:6" x14ac:dyDescent="0.25">
      <c r="A389">
        <v>2012</v>
      </c>
      <c r="B389">
        <v>1056462</v>
      </c>
      <c r="C389">
        <v>498633</v>
      </c>
      <c r="D389">
        <v>557829</v>
      </c>
      <c r="E389" t="s">
        <v>10</v>
      </c>
      <c r="F389" t="s">
        <v>10</v>
      </c>
    </row>
    <row r="390" spans="1:6" x14ac:dyDescent="0.25">
      <c r="A390">
        <v>2012</v>
      </c>
      <c r="B390">
        <v>1021414</v>
      </c>
      <c r="C390">
        <v>489504</v>
      </c>
      <c r="D390">
        <v>531910</v>
      </c>
      <c r="E390" t="s">
        <v>11</v>
      </c>
      <c r="F390" t="s">
        <v>11</v>
      </c>
    </row>
    <row r="391" spans="1:6" x14ac:dyDescent="0.25">
      <c r="A391">
        <v>2012</v>
      </c>
      <c r="B391">
        <v>1065268</v>
      </c>
      <c r="C391">
        <v>533058</v>
      </c>
      <c r="D391">
        <v>532210</v>
      </c>
      <c r="E391" t="s">
        <v>12</v>
      </c>
      <c r="F391" t="s">
        <v>12</v>
      </c>
    </row>
    <row r="392" spans="1:6" x14ac:dyDescent="0.25">
      <c r="A392">
        <v>2012</v>
      </c>
      <c r="B392">
        <v>1290328</v>
      </c>
      <c r="C392">
        <v>708249</v>
      </c>
      <c r="D392">
        <v>582079</v>
      </c>
      <c r="E392" t="s">
        <v>13</v>
      </c>
      <c r="F392" t="s">
        <v>13</v>
      </c>
    </row>
    <row r="393" spans="1:6" x14ac:dyDescent="0.25">
      <c r="A393">
        <v>2012</v>
      </c>
      <c r="B393">
        <v>1157779</v>
      </c>
      <c r="C393">
        <v>613062</v>
      </c>
      <c r="D393">
        <v>544717</v>
      </c>
      <c r="E393" t="s">
        <v>14</v>
      </c>
      <c r="F393" t="s">
        <v>14</v>
      </c>
    </row>
    <row r="394" spans="1:6" x14ac:dyDescent="0.25">
      <c r="A394">
        <v>2012</v>
      </c>
      <c r="B394">
        <v>1038451</v>
      </c>
      <c r="C394">
        <v>510158</v>
      </c>
      <c r="D394">
        <v>528293</v>
      </c>
      <c r="E394" t="s">
        <v>15</v>
      </c>
      <c r="F394" t="s">
        <v>15</v>
      </c>
    </row>
    <row r="395" spans="1:6" x14ac:dyDescent="0.25">
      <c r="A395">
        <v>2012</v>
      </c>
      <c r="B395">
        <v>1106110</v>
      </c>
      <c r="C395">
        <v>564062</v>
      </c>
      <c r="D395">
        <v>542048</v>
      </c>
      <c r="E395" t="s">
        <v>16</v>
      </c>
      <c r="F395" t="s">
        <v>16</v>
      </c>
    </row>
    <row r="396" spans="1:6" x14ac:dyDescent="0.25">
      <c r="A396">
        <v>2012</v>
      </c>
      <c r="B396">
        <v>1123975</v>
      </c>
      <c r="C396">
        <v>573321</v>
      </c>
      <c r="D396">
        <v>550654</v>
      </c>
      <c r="E396" t="s">
        <v>39</v>
      </c>
      <c r="F396" t="s">
        <v>39</v>
      </c>
    </row>
    <row r="397" spans="1:6" x14ac:dyDescent="0.25">
      <c r="A397">
        <v>2012</v>
      </c>
      <c r="B397">
        <v>1062645</v>
      </c>
      <c r="C397">
        <v>521518</v>
      </c>
      <c r="D397">
        <v>541127</v>
      </c>
      <c r="E397" t="s">
        <v>17</v>
      </c>
      <c r="F397" t="s">
        <v>17</v>
      </c>
    </row>
    <row r="398" spans="1:6" x14ac:dyDescent="0.25">
      <c r="A398">
        <v>2012</v>
      </c>
      <c r="B398">
        <v>1010570</v>
      </c>
      <c r="C398">
        <v>519872</v>
      </c>
      <c r="D398">
        <v>490698</v>
      </c>
      <c r="E398" t="s">
        <v>18</v>
      </c>
      <c r="F398" t="s">
        <v>18</v>
      </c>
    </row>
    <row r="399" spans="1:6" x14ac:dyDescent="0.25">
      <c r="A399">
        <v>2012</v>
      </c>
      <c r="B399">
        <v>1040043</v>
      </c>
      <c r="C399">
        <v>548070</v>
      </c>
      <c r="D399">
        <v>491973</v>
      </c>
      <c r="E399" t="s">
        <v>19</v>
      </c>
      <c r="F399" t="s">
        <v>19</v>
      </c>
    </row>
    <row r="400" spans="1:6" x14ac:dyDescent="0.25">
      <c r="A400">
        <v>2012</v>
      </c>
      <c r="B400">
        <v>1005117</v>
      </c>
      <c r="C400">
        <v>459033</v>
      </c>
      <c r="D400">
        <v>546084</v>
      </c>
      <c r="E400" t="s">
        <v>20</v>
      </c>
      <c r="F400" t="s">
        <v>20</v>
      </c>
    </row>
    <row r="401" spans="1:6" x14ac:dyDescent="0.25">
      <c r="A401">
        <v>2012</v>
      </c>
      <c r="B401">
        <v>1019702</v>
      </c>
      <c r="C401">
        <v>485802</v>
      </c>
      <c r="D401">
        <v>533900</v>
      </c>
      <c r="E401" t="s">
        <v>21</v>
      </c>
      <c r="F401" t="s">
        <v>21</v>
      </c>
    </row>
    <row r="402" spans="1:6" x14ac:dyDescent="0.25">
      <c r="A402">
        <v>2012</v>
      </c>
      <c r="B402">
        <v>1134734</v>
      </c>
      <c r="C402">
        <v>550044</v>
      </c>
      <c r="D402">
        <v>584690</v>
      </c>
      <c r="E402" t="s">
        <v>22</v>
      </c>
      <c r="F402" t="s">
        <v>22</v>
      </c>
    </row>
    <row r="403" spans="1:6" x14ac:dyDescent="0.25">
      <c r="A403">
        <v>2012</v>
      </c>
      <c r="B403">
        <v>1163696</v>
      </c>
      <c r="C403">
        <v>583107</v>
      </c>
      <c r="D403">
        <v>580589</v>
      </c>
      <c r="E403" t="s">
        <v>23</v>
      </c>
      <c r="F403" t="s">
        <v>23</v>
      </c>
    </row>
    <row r="404" spans="1:6" x14ac:dyDescent="0.25">
      <c r="A404">
        <v>2012</v>
      </c>
      <c r="B404">
        <v>1229929</v>
      </c>
      <c r="C404">
        <v>643964</v>
      </c>
      <c r="D404">
        <v>585965</v>
      </c>
      <c r="E404" t="s">
        <v>24</v>
      </c>
      <c r="F404" t="s">
        <v>24</v>
      </c>
    </row>
    <row r="405" spans="1:6" x14ac:dyDescent="0.25">
      <c r="A405">
        <v>2012</v>
      </c>
      <c r="B405">
        <v>1142324</v>
      </c>
      <c r="C405">
        <v>632704</v>
      </c>
      <c r="D405">
        <v>509620</v>
      </c>
      <c r="E405" t="s">
        <v>25</v>
      </c>
      <c r="F405" t="s">
        <v>25</v>
      </c>
    </row>
    <row r="406" spans="1:6" x14ac:dyDescent="0.25">
      <c r="A406">
        <v>2012</v>
      </c>
      <c r="B406">
        <v>976231</v>
      </c>
      <c r="C406">
        <v>433732</v>
      </c>
      <c r="D406">
        <v>542499</v>
      </c>
      <c r="E406" t="s">
        <v>26</v>
      </c>
      <c r="F406" t="s">
        <v>27</v>
      </c>
    </row>
    <row r="407" spans="1:6" x14ac:dyDescent="0.25">
      <c r="A407">
        <v>2012</v>
      </c>
      <c r="B407">
        <v>1126893</v>
      </c>
      <c r="C407">
        <v>553152</v>
      </c>
      <c r="D407">
        <v>573741</v>
      </c>
      <c r="E407" t="s">
        <v>28</v>
      </c>
      <c r="F407" t="s">
        <v>28</v>
      </c>
    </row>
    <row r="408" spans="1:6" x14ac:dyDescent="0.25">
      <c r="A408">
        <v>2012</v>
      </c>
      <c r="B408">
        <v>1078574</v>
      </c>
      <c r="C408">
        <v>489135</v>
      </c>
      <c r="D408">
        <v>589439</v>
      </c>
      <c r="E408" t="s">
        <v>29</v>
      </c>
      <c r="F408" t="s">
        <v>29</v>
      </c>
    </row>
    <row r="409" spans="1:6" x14ac:dyDescent="0.25">
      <c r="A409">
        <v>2012</v>
      </c>
      <c r="B409">
        <v>1022066</v>
      </c>
      <c r="C409">
        <v>479716</v>
      </c>
      <c r="D409">
        <v>542350</v>
      </c>
      <c r="E409" t="s">
        <v>30</v>
      </c>
      <c r="F409" t="s">
        <v>31</v>
      </c>
    </row>
    <row r="410" spans="1:6" x14ac:dyDescent="0.25">
      <c r="A410">
        <v>2012</v>
      </c>
      <c r="B410">
        <v>1094908</v>
      </c>
      <c r="C410">
        <v>557856</v>
      </c>
      <c r="D410">
        <v>537052</v>
      </c>
      <c r="E410" t="s">
        <v>32</v>
      </c>
      <c r="F410" t="s">
        <v>32</v>
      </c>
    </row>
    <row r="411" spans="1:6" x14ac:dyDescent="0.25">
      <c r="A411">
        <v>2012</v>
      </c>
      <c r="B411">
        <v>1017029</v>
      </c>
      <c r="C411">
        <v>543570</v>
      </c>
      <c r="D411">
        <v>473459</v>
      </c>
      <c r="E411" t="s">
        <v>33</v>
      </c>
      <c r="F411" t="s">
        <v>33</v>
      </c>
    </row>
    <row r="412" spans="1:6" x14ac:dyDescent="0.25">
      <c r="A412">
        <v>2012</v>
      </c>
      <c r="B412">
        <v>975825</v>
      </c>
      <c r="C412">
        <v>480929</v>
      </c>
      <c r="D412">
        <v>494896</v>
      </c>
      <c r="E412" t="s">
        <v>34</v>
      </c>
      <c r="F412" t="s">
        <v>35</v>
      </c>
    </row>
    <row r="413" spans="1:6" x14ac:dyDescent="0.25">
      <c r="A413">
        <v>2012</v>
      </c>
      <c r="B413">
        <v>1004457</v>
      </c>
      <c r="C413">
        <v>440819</v>
      </c>
      <c r="D413">
        <v>563638</v>
      </c>
      <c r="E413" t="s">
        <v>36</v>
      </c>
      <c r="F413" t="s">
        <v>36</v>
      </c>
    </row>
    <row r="414" spans="1:6" x14ac:dyDescent="0.25">
      <c r="A414">
        <v>2012</v>
      </c>
      <c r="B414">
        <v>1070701</v>
      </c>
      <c r="C414">
        <v>553144</v>
      </c>
      <c r="D414">
        <v>517557</v>
      </c>
      <c r="E414" t="s">
        <v>37</v>
      </c>
      <c r="F414" t="s">
        <v>37</v>
      </c>
    </row>
    <row r="415" spans="1:6" x14ac:dyDescent="0.25">
      <c r="A415">
        <v>2012</v>
      </c>
      <c r="B415">
        <v>1189702</v>
      </c>
      <c r="C415">
        <v>637236</v>
      </c>
      <c r="D415">
        <v>552466</v>
      </c>
      <c r="E415" t="s">
        <v>38</v>
      </c>
      <c r="F415" t="s">
        <v>38</v>
      </c>
    </row>
    <row r="416" spans="1:6" x14ac:dyDescent="0.25">
      <c r="A416">
        <v>2013</v>
      </c>
      <c r="B416">
        <v>997710</v>
      </c>
      <c r="C416">
        <v>488271</v>
      </c>
      <c r="D416">
        <v>509439</v>
      </c>
      <c r="E416" t="s">
        <v>5</v>
      </c>
      <c r="F416" t="s">
        <v>5</v>
      </c>
    </row>
    <row r="417" spans="1:6" x14ac:dyDescent="0.25">
      <c r="A417">
        <v>2013</v>
      </c>
      <c r="B417">
        <v>1080805</v>
      </c>
      <c r="C417">
        <v>561795</v>
      </c>
      <c r="D417">
        <v>519010</v>
      </c>
      <c r="E417" t="s">
        <v>6</v>
      </c>
      <c r="F417" t="s">
        <v>6</v>
      </c>
    </row>
    <row r="418" spans="1:6" x14ac:dyDescent="0.25">
      <c r="A418">
        <v>2013</v>
      </c>
      <c r="B418">
        <v>1106022</v>
      </c>
      <c r="C418">
        <v>569084</v>
      </c>
      <c r="D418">
        <v>536938</v>
      </c>
      <c r="E418" t="s">
        <v>7</v>
      </c>
      <c r="F418" t="s">
        <v>7</v>
      </c>
    </row>
    <row r="419" spans="1:6" x14ac:dyDescent="0.25">
      <c r="A419">
        <v>2013</v>
      </c>
      <c r="B419">
        <v>1032476</v>
      </c>
      <c r="C419">
        <v>502842</v>
      </c>
      <c r="D419">
        <v>529634</v>
      </c>
      <c r="E419" t="s">
        <v>8</v>
      </c>
      <c r="F419" t="s">
        <v>8</v>
      </c>
    </row>
    <row r="420" spans="1:6" x14ac:dyDescent="0.25">
      <c r="A420">
        <v>2013</v>
      </c>
      <c r="B420">
        <v>1112229</v>
      </c>
      <c r="C420">
        <v>587544</v>
      </c>
      <c r="D420">
        <v>524685</v>
      </c>
      <c r="E420" t="s">
        <v>9</v>
      </c>
      <c r="F420" t="s">
        <v>9</v>
      </c>
    </row>
    <row r="421" spans="1:6" x14ac:dyDescent="0.25">
      <c r="A421">
        <v>2013</v>
      </c>
      <c r="B421">
        <v>1057075</v>
      </c>
      <c r="C421">
        <v>498864</v>
      </c>
      <c r="D421">
        <v>558211</v>
      </c>
      <c r="E421" t="s">
        <v>10</v>
      </c>
      <c r="F421" t="s">
        <v>10</v>
      </c>
    </row>
    <row r="422" spans="1:6" x14ac:dyDescent="0.25">
      <c r="A422">
        <v>2013</v>
      </c>
      <c r="B422">
        <v>1001806</v>
      </c>
      <c r="C422">
        <v>506377</v>
      </c>
      <c r="D422">
        <v>495429</v>
      </c>
      <c r="E422" t="s">
        <v>11</v>
      </c>
      <c r="F422" t="s">
        <v>11</v>
      </c>
    </row>
    <row r="423" spans="1:6" x14ac:dyDescent="0.25">
      <c r="A423">
        <v>2013</v>
      </c>
      <c r="B423">
        <v>1122750</v>
      </c>
      <c r="C423">
        <v>569939</v>
      </c>
      <c r="D423">
        <v>552811</v>
      </c>
      <c r="E423" t="s">
        <v>12</v>
      </c>
      <c r="F423" t="s">
        <v>12</v>
      </c>
    </row>
    <row r="424" spans="1:6" x14ac:dyDescent="0.25">
      <c r="A424">
        <v>2013</v>
      </c>
      <c r="B424">
        <v>1279578</v>
      </c>
      <c r="C424">
        <v>704345</v>
      </c>
      <c r="D424">
        <v>575233</v>
      </c>
      <c r="E424" t="s">
        <v>13</v>
      </c>
      <c r="F424" t="s">
        <v>13</v>
      </c>
    </row>
    <row r="425" spans="1:6" x14ac:dyDescent="0.25">
      <c r="A425">
        <v>2013</v>
      </c>
      <c r="B425">
        <v>1194145</v>
      </c>
      <c r="C425">
        <v>614977</v>
      </c>
      <c r="D425">
        <v>579168</v>
      </c>
      <c r="E425" t="s">
        <v>14</v>
      </c>
      <c r="F425" t="s">
        <v>14</v>
      </c>
    </row>
    <row r="426" spans="1:6" x14ac:dyDescent="0.25">
      <c r="A426">
        <v>2013</v>
      </c>
      <c r="B426">
        <v>1053841</v>
      </c>
      <c r="C426">
        <v>510369</v>
      </c>
      <c r="D426">
        <v>543472</v>
      </c>
      <c r="E426" t="s">
        <v>15</v>
      </c>
      <c r="F426" t="s">
        <v>15</v>
      </c>
    </row>
    <row r="427" spans="1:6" x14ac:dyDescent="0.25">
      <c r="A427">
        <v>2013</v>
      </c>
      <c r="B427">
        <v>1191205</v>
      </c>
      <c r="C427">
        <v>623577</v>
      </c>
      <c r="D427">
        <v>567628</v>
      </c>
      <c r="E427" t="s">
        <v>16</v>
      </c>
      <c r="F427" t="s">
        <v>16</v>
      </c>
    </row>
    <row r="428" spans="1:6" x14ac:dyDescent="0.25">
      <c r="A428">
        <v>2013</v>
      </c>
      <c r="B428">
        <v>1103683</v>
      </c>
      <c r="C428">
        <v>573271</v>
      </c>
      <c r="D428">
        <v>530412</v>
      </c>
      <c r="E428" t="s">
        <v>39</v>
      </c>
      <c r="F428" t="s">
        <v>39</v>
      </c>
    </row>
    <row r="429" spans="1:6" x14ac:dyDescent="0.25">
      <c r="A429">
        <v>2013</v>
      </c>
      <c r="B429">
        <v>1054693</v>
      </c>
      <c r="C429">
        <v>527606</v>
      </c>
      <c r="D429">
        <v>527087</v>
      </c>
      <c r="E429" t="s">
        <v>17</v>
      </c>
      <c r="F429" t="s">
        <v>17</v>
      </c>
    </row>
    <row r="430" spans="1:6" x14ac:dyDescent="0.25">
      <c r="A430">
        <v>2013</v>
      </c>
      <c r="B430">
        <v>1028219</v>
      </c>
      <c r="C430">
        <v>503140</v>
      </c>
      <c r="D430">
        <v>525079</v>
      </c>
      <c r="E430" t="s">
        <v>18</v>
      </c>
      <c r="F430" t="s">
        <v>18</v>
      </c>
    </row>
    <row r="431" spans="1:6" x14ac:dyDescent="0.25">
      <c r="A431">
        <v>2013</v>
      </c>
      <c r="B431">
        <v>1118007</v>
      </c>
      <c r="C431">
        <v>602877</v>
      </c>
      <c r="D431">
        <v>515130</v>
      </c>
      <c r="E431" t="s">
        <v>19</v>
      </c>
      <c r="F431" t="s">
        <v>19</v>
      </c>
    </row>
    <row r="432" spans="1:6" x14ac:dyDescent="0.25">
      <c r="A432">
        <v>2013</v>
      </c>
      <c r="B432">
        <v>1041545</v>
      </c>
      <c r="C432">
        <v>514553</v>
      </c>
      <c r="D432">
        <v>526992</v>
      </c>
      <c r="E432" t="s">
        <v>20</v>
      </c>
      <c r="F432" t="s">
        <v>20</v>
      </c>
    </row>
    <row r="433" spans="1:6" x14ac:dyDescent="0.25">
      <c r="A433">
        <v>2013</v>
      </c>
      <c r="B433">
        <v>1099551</v>
      </c>
      <c r="C433">
        <v>531653</v>
      </c>
      <c r="D433">
        <v>567898</v>
      </c>
      <c r="E433" t="s">
        <v>21</v>
      </c>
      <c r="F433" t="s">
        <v>21</v>
      </c>
    </row>
    <row r="434" spans="1:6" x14ac:dyDescent="0.25">
      <c r="A434">
        <v>2013</v>
      </c>
      <c r="B434">
        <v>1120817</v>
      </c>
      <c r="C434">
        <v>550048</v>
      </c>
      <c r="D434">
        <v>570769</v>
      </c>
      <c r="E434" t="s">
        <v>22</v>
      </c>
      <c r="F434" t="s">
        <v>22</v>
      </c>
    </row>
    <row r="435" spans="1:6" x14ac:dyDescent="0.25">
      <c r="A435">
        <v>2013</v>
      </c>
      <c r="B435">
        <v>1123230</v>
      </c>
      <c r="C435">
        <v>583210</v>
      </c>
      <c r="D435">
        <v>540020</v>
      </c>
      <c r="E435" t="s">
        <v>23</v>
      </c>
      <c r="F435" t="s">
        <v>23</v>
      </c>
    </row>
    <row r="436" spans="1:6" x14ac:dyDescent="0.25">
      <c r="A436">
        <v>2013</v>
      </c>
      <c r="B436">
        <v>1209532</v>
      </c>
      <c r="C436">
        <v>641184</v>
      </c>
      <c r="D436">
        <v>568348</v>
      </c>
      <c r="E436" t="s">
        <v>24</v>
      </c>
      <c r="F436" t="s">
        <v>24</v>
      </c>
    </row>
    <row r="437" spans="1:6" x14ac:dyDescent="0.25">
      <c r="A437">
        <v>2013</v>
      </c>
      <c r="B437">
        <v>1169108</v>
      </c>
      <c r="C437">
        <v>615656</v>
      </c>
      <c r="D437">
        <v>553452</v>
      </c>
      <c r="E437" t="s">
        <v>25</v>
      </c>
      <c r="F437" t="s">
        <v>25</v>
      </c>
    </row>
    <row r="438" spans="1:6" x14ac:dyDescent="0.25">
      <c r="A438">
        <v>2013</v>
      </c>
      <c r="B438">
        <v>1004636</v>
      </c>
      <c r="C438">
        <v>403556</v>
      </c>
      <c r="D438">
        <v>601080</v>
      </c>
      <c r="E438" t="s">
        <v>26</v>
      </c>
      <c r="F438" t="s">
        <v>27</v>
      </c>
    </row>
    <row r="439" spans="1:6" x14ac:dyDescent="0.25">
      <c r="A439">
        <v>2013</v>
      </c>
      <c r="B439">
        <v>1141155</v>
      </c>
      <c r="C439">
        <v>553152</v>
      </c>
      <c r="D439">
        <v>588003</v>
      </c>
      <c r="E439" t="s">
        <v>28</v>
      </c>
      <c r="F439" t="s">
        <v>28</v>
      </c>
    </row>
    <row r="440" spans="1:6" x14ac:dyDescent="0.25">
      <c r="A440">
        <v>2013</v>
      </c>
      <c r="B440">
        <v>1025772</v>
      </c>
      <c r="C440">
        <v>458489</v>
      </c>
      <c r="D440">
        <v>567283</v>
      </c>
      <c r="E440" t="s">
        <v>29</v>
      </c>
      <c r="F440" t="s">
        <v>29</v>
      </c>
    </row>
    <row r="441" spans="1:6" x14ac:dyDescent="0.25">
      <c r="A441">
        <v>2013</v>
      </c>
      <c r="B441">
        <v>1052439</v>
      </c>
      <c r="C441">
        <v>513641</v>
      </c>
      <c r="D441">
        <v>538798</v>
      </c>
      <c r="E441" t="s">
        <v>30</v>
      </c>
      <c r="F441" t="s">
        <v>31</v>
      </c>
    </row>
    <row r="442" spans="1:6" x14ac:dyDescent="0.25">
      <c r="A442">
        <v>2013</v>
      </c>
      <c r="B442">
        <v>1116046</v>
      </c>
      <c r="C442">
        <v>557856</v>
      </c>
      <c r="D442">
        <v>558190</v>
      </c>
      <c r="E442" t="s">
        <v>32</v>
      </c>
      <c r="F442" t="s">
        <v>32</v>
      </c>
    </row>
    <row r="443" spans="1:6" x14ac:dyDescent="0.25">
      <c r="A443">
        <v>2013</v>
      </c>
      <c r="B443">
        <v>1094133</v>
      </c>
      <c r="C443">
        <v>545577</v>
      </c>
      <c r="D443">
        <v>548556</v>
      </c>
      <c r="E443" t="s">
        <v>33</v>
      </c>
      <c r="F443" t="s">
        <v>33</v>
      </c>
    </row>
    <row r="444" spans="1:6" x14ac:dyDescent="0.25">
      <c r="A444">
        <v>2013</v>
      </c>
      <c r="B444">
        <v>1014994</v>
      </c>
      <c r="C444">
        <v>455657</v>
      </c>
      <c r="D444">
        <v>559337</v>
      </c>
      <c r="E444" t="s">
        <v>34</v>
      </c>
      <c r="F444" t="s">
        <v>35</v>
      </c>
    </row>
    <row r="445" spans="1:6" x14ac:dyDescent="0.25">
      <c r="A445">
        <v>2013</v>
      </c>
      <c r="B445">
        <v>1016122</v>
      </c>
      <c r="C445">
        <v>470548</v>
      </c>
      <c r="D445">
        <v>545574</v>
      </c>
      <c r="E445" t="s">
        <v>36</v>
      </c>
      <c r="F445" t="s">
        <v>36</v>
      </c>
    </row>
    <row r="446" spans="1:6" x14ac:dyDescent="0.25">
      <c r="A446">
        <v>2013</v>
      </c>
      <c r="B446">
        <v>1057807</v>
      </c>
      <c r="C446">
        <v>553144</v>
      </c>
      <c r="D446">
        <v>504663</v>
      </c>
      <c r="E446" t="s">
        <v>37</v>
      </c>
      <c r="F446" t="s">
        <v>37</v>
      </c>
    </row>
    <row r="447" spans="1:6" x14ac:dyDescent="0.25">
      <c r="A447">
        <v>2013</v>
      </c>
      <c r="B447">
        <v>1200007</v>
      </c>
      <c r="C447">
        <v>617767</v>
      </c>
      <c r="D447">
        <v>582240</v>
      </c>
      <c r="E447" t="s">
        <v>38</v>
      </c>
      <c r="F447" t="s">
        <v>38</v>
      </c>
    </row>
    <row r="448" spans="1:6" x14ac:dyDescent="0.25">
      <c r="A448">
        <v>2014</v>
      </c>
      <c r="B448">
        <v>1053326</v>
      </c>
      <c r="C448">
        <v>495835</v>
      </c>
      <c r="D448">
        <v>557491</v>
      </c>
      <c r="E448" t="s">
        <v>5</v>
      </c>
      <c r="F448" t="s">
        <v>5</v>
      </c>
    </row>
    <row r="449" spans="1:6" x14ac:dyDescent="0.25">
      <c r="A449">
        <v>2014</v>
      </c>
      <c r="B449">
        <v>1121026</v>
      </c>
      <c r="C449">
        <v>577047</v>
      </c>
      <c r="D449">
        <v>543979</v>
      </c>
      <c r="E449" t="s">
        <v>6</v>
      </c>
      <c r="F449" t="s">
        <v>6</v>
      </c>
    </row>
    <row r="450" spans="1:6" x14ac:dyDescent="0.25">
      <c r="A450">
        <v>2014</v>
      </c>
      <c r="B450">
        <v>1096129</v>
      </c>
      <c r="C450">
        <v>568353</v>
      </c>
      <c r="D450">
        <v>527776</v>
      </c>
      <c r="E450" t="s">
        <v>7</v>
      </c>
      <c r="F450" t="s">
        <v>7</v>
      </c>
    </row>
    <row r="451" spans="1:6" x14ac:dyDescent="0.25">
      <c r="A451">
        <v>2014</v>
      </c>
      <c r="B451">
        <v>1085974</v>
      </c>
      <c r="C451">
        <v>540180</v>
      </c>
      <c r="D451">
        <v>545794</v>
      </c>
      <c r="E451" t="s">
        <v>8</v>
      </c>
      <c r="F451" t="s">
        <v>8</v>
      </c>
    </row>
    <row r="452" spans="1:6" x14ac:dyDescent="0.25">
      <c r="A452">
        <v>2014</v>
      </c>
      <c r="B452">
        <v>1123313</v>
      </c>
      <c r="C452">
        <v>588861</v>
      </c>
      <c r="D452">
        <v>534452</v>
      </c>
      <c r="E452" t="s">
        <v>9</v>
      </c>
      <c r="F452" t="s">
        <v>9</v>
      </c>
    </row>
    <row r="453" spans="1:6" x14ac:dyDescent="0.25">
      <c r="A453">
        <v>2014</v>
      </c>
      <c r="B453">
        <v>1050366</v>
      </c>
      <c r="C453">
        <v>493449</v>
      </c>
      <c r="D453">
        <v>556917</v>
      </c>
      <c r="E453" t="s">
        <v>10</v>
      </c>
      <c r="F453" t="s">
        <v>10</v>
      </c>
    </row>
    <row r="454" spans="1:6" x14ac:dyDescent="0.25">
      <c r="A454">
        <v>2014</v>
      </c>
      <c r="B454">
        <v>1025166</v>
      </c>
      <c r="C454">
        <v>485628</v>
      </c>
      <c r="D454">
        <v>539538</v>
      </c>
      <c r="E454" t="s">
        <v>11</v>
      </c>
      <c r="F454" t="s">
        <v>11</v>
      </c>
    </row>
    <row r="455" spans="1:6" x14ac:dyDescent="0.25">
      <c r="A455">
        <v>2014</v>
      </c>
      <c r="B455">
        <v>1083855</v>
      </c>
      <c r="C455">
        <v>539400</v>
      </c>
      <c r="D455">
        <v>544455</v>
      </c>
      <c r="E455" t="s">
        <v>12</v>
      </c>
      <c r="F455" t="s">
        <v>12</v>
      </c>
    </row>
    <row r="456" spans="1:6" x14ac:dyDescent="0.25">
      <c r="A456">
        <v>2014</v>
      </c>
      <c r="B456">
        <v>1293046</v>
      </c>
      <c r="C456">
        <v>720558</v>
      </c>
      <c r="D456">
        <v>572488</v>
      </c>
      <c r="E456" t="s">
        <v>13</v>
      </c>
      <c r="F456" t="s">
        <v>13</v>
      </c>
    </row>
    <row r="457" spans="1:6" x14ac:dyDescent="0.25">
      <c r="A457">
        <v>2014</v>
      </c>
      <c r="B457">
        <v>1156767</v>
      </c>
      <c r="C457">
        <v>615517</v>
      </c>
      <c r="D457">
        <v>541250</v>
      </c>
      <c r="E457" t="s">
        <v>14</v>
      </c>
      <c r="F457" t="s">
        <v>14</v>
      </c>
    </row>
    <row r="458" spans="1:6" x14ac:dyDescent="0.25">
      <c r="A458">
        <v>2014</v>
      </c>
      <c r="B458">
        <v>1062760</v>
      </c>
      <c r="C458">
        <v>504198</v>
      </c>
      <c r="D458">
        <v>558562</v>
      </c>
      <c r="E458" t="s">
        <v>15</v>
      </c>
      <c r="F458" t="s">
        <v>15</v>
      </c>
    </row>
    <row r="459" spans="1:6" x14ac:dyDescent="0.25">
      <c r="A459">
        <v>2014</v>
      </c>
      <c r="B459">
        <v>1148560</v>
      </c>
      <c r="C459">
        <v>625114</v>
      </c>
      <c r="D459">
        <v>523446</v>
      </c>
      <c r="E459" t="s">
        <v>16</v>
      </c>
      <c r="F459" t="s">
        <v>16</v>
      </c>
    </row>
    <row r="460" spans="1:6" x14ac:dyDescent="0.25">
      <c r="A460">
        <v>2014</v>
      </c>
      <c r="B460">
        <v>1115983</v>
      </c>
      <c r="C460">
        <v>574132</v>
      </c>
      <c r="D460">
        <v>541851</v>
      </c>
      <c r="E460" t="s">
        <v>39</v>
      </c>
      <c r="F460" t="s">
        <v>39</v>
      </c>
    </row>
    <row r="461" spans="1:6" x14ac:dyDescent="0.25">
      <c r="A461">
        <v>2014</v>
      </c>
      <c r="B461">
        <v>1101258</v>
      </c>
      <c r="C461">
        <v>523004</v>
      </c>
      <c r="D461">
        <v>578254</v>
      </c>
      <c r="E461" t="s">
        <v>17</v>
      </c>
      <c r="F461" t="s">
        <v>17</v>
      </c>
    </row>
    <row r="462" spans="1:6" x14ac:dyDescent="0.25">
      <c r="A462">
        <v>2014</v>
      </c>
      <c r="B462">
        <v>1066627</v>
      </c>
      <c r="C462">
        <v>524335</v>
      </c>
      <c r="D462">
        <v>542292</v>
      </c>
      <c r="E462" t="s">
        <v>18</v>
      </c>
      <c r="F462" t="s">
        <v>18</v>
      </c>
    </row>
    <row r="463" spans="1:6" x14ac:dyDescent="0.25">
      <c r="A463">
        <v>2014</v>
      </c>
      <c r="B463">
        <v>1127251</v>
      </c>
      <c r="C463">
        <v>599743</v>
      </c>
      <c r="D463">
        <v>527508</v>
      </c>
      <c r="E463" t="s">
        <v>19</v>
      </c>
      <c r="F463" t="s">
        <v>19</v>
      </c>
    </row>
    <row r="464" spans="1:6" x14ac:dyDescent="0.25">
      <c r="A464">
        <v>2014</v>
      </c>
      <c r="B464">
        <v>1128798</v>
      </c>
      <c r="C464">
        <v>560280</v>
      </c>
      <c r="D464">
        <v>568518</v>
      </c>
      <c r="E464" t="s">
        <v>20</v>
      </c>
      <c r="F464" t="s">
        <v>20</v>
      </c>
    </row>
    <row r="465" spans="1:6" x14ac:dyDescent="0.25">
      <c r="A465">
        <v>2014</v>
      </c>
      <c r="B465">
        <v>940423</v>
      </c>
      <c r="C465">
        <v>417906</v>
      </c>
      <c r="D465">
        <v>522517</v>
      </c>
      <c r="E465" t="s">
        <v>21</v>
      </c>
      <c r="F465" t="s">
        <v>21</v>
      </c>
    </row>
    <row r="466" spans="1:6" x14ac:dyDescent="0.25">
      <c r="A466">
        <v>2014</v>
      </c>
      <c r="B466">
        <v>1111983</v>
      </c>
      <c r="C466">
        <v>550048</v>
      </c>
      <c r="D466">
        <v>561935</v>
      </c>
      <c r="E466" t="s">
        <v>22</v>
      </c>
      <c r="F466" t="s">
        <v>22</v>
      </c>
    </row>
    <row r="467" spans="1:6" x14ac:dyDescent="0.25">
      <c r="A467">
        <v>2014</v>
      </c>
      <c r="B467">
        <v>1133987</v>
      </c>
      <c r="C467">
        <v>584900</v>
      </c>
      <c r="D467">
        <v>549087</v>
      </c>
      <c r="E467" t="s">
        <v>23</v>
      </c>
      <c r="F467" t="s">
        <v>23</v>
      </c>
    </row>
    <row r="468" spans="1:6" x14ac:dyDescent="0.25">
      <c r="A468">
        <v>2014</v>
      </c>
      <c r="B468">
        <v>1195369</v>
      </c>
      <c r="C468">
        <v>631738</v>
      </c>
      <c r="D468">
        <v>563631</v>
      </c>
      <c r="E468" t="s">
        <v>24</v>
      </c>
      <c r="F468" t="s">
        <v>24</v>
      </c>
    </row>
    <row r="469" spans="1:6" x14ac:dyDescent="0.25">
      <c r="A469">
        <v>2014</v>
      </c>
      <c r="B469">
        <v>1157234</v>
      </c>
      <c r="C469">
        <v>625280</v>
      </c>
      <c r="D469">
        <v>531954</v>
      </c>
      <c r="E469" t="s">
        <v>25</v>
      </c>
      <c r="F469" t="s">
        <v>25</v>
      </c>
    </row>
    <row r="470" spans="1:6" x14ac:dyDescent="0.25">
      <c r="A470">
        <v>2014</v>
      </c>
      <c r="B470">
        <v>1013469</v>
      </c>
      <c r="C470">
        <v>459333</v>
      </c>
      <c r="D470">
        <v>554136</v>
      </c>
      <c r="E470" t="s">
        <v>26</v>
      </c>
      <c r="F470" t="s">
        <v>27</v>
      </c>
    </row>
    <row r="471" spans="1:6" x14ac:dyDescent="0.25">
      <c r="A471">
        <v>2014</v>
      </c>
      <c r="B471">
        <v>1153703</v>
      </c>
      <c r="C471">
        <v>556768</v>
      </c>
      <c r="D471">
        <v>596935</v>
      </c>
      <c r="E471" t="s">
        <v>28</v>
      </c>
      <c r="F471" t="s">
        <v>28</v>
      </c>
    </row>
    <row r="472" spans="1:6" x14ac:dyDescent="0.25">
      <c r="A472">
        <v>2014</v>
      </c>
      <c r="B472">
        <v>1060542</v>
      </c>
      <c r="C472">
        <v>497811</v>
      </c>
      <c r="D472">
        <v>562731</v>
      </c>
      <c r="E472" t="s">
        <v>29</v>
      </c>
      <c r="F472" t="s">
        <v>29</v>
      </c>
    </row>
    <row r="473" spans="1:6" x14ac:dyDescent="0.25">
      <c r="A473">
        <v>2014</v>
      </c>
      <c r="B473">
        <v>1069529</v>
      </c>
      <c r="C473">
        <v>523457</v>
      </c>
      <c r="D473">
        <v>546072</v>
      </c>
      <c r="E473" t="s">
        <v>30</v>
      </c>
      <c r="F473" t="s">
        <v>31</v>
      </c>
    </row>
    <row r="474" spans="1:6" x14ac:dyDescent="0.25">
      <c r="A474">
        <v>2014</v>
      </c>
      <c r="B474">
        <v>1130143</v>
      </c>
      <c r="C474">
        <v>566192</v>
      </c>
      <c r="D474">
        <v>563951</v>
      </c>
      <c r="E474" t="s">
        <v>32</v>
      </c>
      <c r="F474" t="s">
        <v>32</v>
      </c>
    </row>
    <row r="475" spans="1:6" x14ac:dyDescent="0.25">
      <c r="A475">
        <v>2014</v>
      </c>
      <c r="B475">
        <v>1107297</v>
      </c>
      <c r="C475">
        <v>547298</v>
      </c>
      <c r="D475">
        <v>559999</v>
      </c>
      <c r="E475" t="s">
        <v>33</v>
      </c>
      <c r="F475" t="s">
        <v>33</v>
      </c>
    </row>
    <row r="476" spans="1:6" x14ac:dyDescent="0.25">
      <c r="A476">
        <v>2014</v>
      </c>
      <c r="B476">
        <v>999412</v>
      </c>
      <c r="C476">
        <v>456146</v>
      </c>
      <c r="D476">
        <v>543266</v>
      </c>
      <c r="E476" t="s">
        <v>34</v>
      </c>
      <c r="F476" t="s">
        <v>35</v>
      </c>
    </row>
    <row r="477" spans="1:6" x14ac:dyDescent="0.25">
      <c r="A477">
        <v>2014</v>
      </c>
      <c r="B477">
        <v>1023818</v>
      </c>
      <c r="C477">
        <v>477273</v>
      </c>
      <c r="D477">
        <v>546545</v>
      </c>
      <c r="E477" t="s">
        <v>36</v>
      </c>
      <c r="F477" t="s">
        <v>36</v>
      </c>
    </row>
    <row r="478" spans="1:6" x14ac:dyDescent="0.25">
      <c r="A478">
        <v>2014</v>
      </c>
      <c r="B478">
        <v>1096866</v>
      </c>
      <c r="C478">
        <v>553144</v>
      </c>
      <c r="D478">
        <v>543722</v>
      </c>
      <c r="E478" t="s">
        <v>37</v>
      </c>
      <c r="F478" t="s">
        <v>37</v>
      </c>
    </row>
    <row r="479" spans="1:6" x14ac:dyDescent="0.25">
      <c r="A479">
        <v>2014</v>
      </c>
      <c r="B479">
        <v>1179306</v>
      </c>
      <c r="C479">
        <v>623715</v>
      </c>
      <c r="D479">
        <v>555591</v>
      </c>
      <c r="E479" t="s">
        <v>38</v>
      </c>
      <c r="F479" t="s">
        <v>38</v>
      </c>
    </row>
    <row r="480" spans="1:6" x14ac:dyDescent="0.25">
      <c r="A480">
        <v>2015</v>
      </c>
      <c r="B480">
        <v>1028446</v>
      </c>
      <c r="C480">
        <v>513487</v>
      </c>
      <c r="D480">
        <v>514959</v>
      </c>
      <c r="E480" t="s">
        <v>5</v>
      </c>
      <c r="F480" t="s">
        <v>5</v>
      </c>
    </row>
    <row r="481" spans="1:6" x14ac:dyDescent="0.25">
      <c r="A481">
        <v>2015</v>
      </c>
      <c r="B481">
        <v>1134671</v>
      </c>
      <c r="C481">
        <v>562845</v>
      </c>
      <c r="D481">
        <v>571826</v>
      </c>
      <c r="E481" t="s">
        <v>6</v>
      </c>
      <c r="F481" t="s">
        <v>6</v>
      </c>
    </row>
    <row r="482" spans="1:6" x14ac:dyDescent="0.25">
      <c r="A482">
        <v>2015</v>
      </c>
      <c r="B482">
        <v>1083919</v>
      </c>
      <c r="C482">
        <v>568018</v>
      </c>
      <c r="D482">
        <v>515901</v>
      </c>
      <c r="E482" t="s">
        <v>7</v>
      </c>
      <c r="F482" t="s">
        <v>7</v>
      </c>
    </row>
    <row r="483" spans="1:6" x14ac:dyDescent="0.25">
      <c r="A483">
        <v>2015</v>
      </c>
      <c r="B483">
        <v>1140809</v>
      </c>
      <c r="C483">
        <v>559047</v>
      </c>
      <c r="D483">
        <v>581762</v>
      </c>
      <c r="E483" t="s">
        <v>8</v>
      </c>
      <c r="F483" t="s">
        <v>8</v>
      </c>
    </row>
    <row r="484" spans="1:6" x14ac:dyDescent="0.25">
      <c r="A484">
        <v>2015</v>
      </c>
      <c r="B484">
        <v>1157689</v>
      </c>
      <c r="C484">
        <v>592454</v>
      </c>
      <c r="D484">
        <v>565235</v>
      </c>
      <c r="E484" t="s">
        <v>9</v>
      </c>
      <c r="F484" t="s">
        <v>9</v>
      </c>
    </row>
    <row r="485" spans="1:6" x14ac:dyDescent="0.25">
      <c r="A485">
        <v>2015</v>
      </c>
      <c r="B485">
        <v>1020065</v>
      </c>
      <c r="C485">
        <v>496287</v>
      </c>
      <c r="D485">
        <v>523778</v>
      </c>
      <c r="E485" t="s">
        <v>10</v>
      </c>
      <c r="F485" t="s">
        <v>10</v>
      </c>
    </row>
    <row r="486" spans="1:6" x14ac:dyDescent="0.25">
      <c r="A486">
        <v>2015</v>
      </c>
      <c r="B486">
        <v>1028118</v>
      </c>
      <c r="C486">
        <v>491118</v>
      </c>
      <c r="D486">
        <v>537000</v>
      </c>
      <c r="E486" t="s">
        <v>11</v>
      </c>
      <c r="F486" t="s">
        <v>11</v>
      </c>
    </row>
    <row r="487" spans="1:6" x14ac:dyDescent="0.25">
      <c r="A487">
        <v>2015</v>
      </c>
      <c r="B487">
        <v>1062262</v>
      </c>
      <c r="C487">
        <v>529488</v>
      </c>
      <c r="D487">
        <v>532774</v>
      </c>
      <c r="E487" t="s">
        <v>12</v>
      </c>
      <c r="F487" t="s">
        <v>12</v>
      </c>
    </row>
    <row r="488" spans="1:6" x14ac:dyDescent="0.25">
      <c r="A488">
        <v>2015</v>
      </c>
      <c r="B488">
        <v>1312509</v>
      </c>
      <c r="C488">
        <v>731672</v>
      </c>
      <c r="D488">
        <v>580837</v>
      </c>
      <c r="E488" t="s">
        <v>13</v>
      </c>
      <c r="F488" t="s">
        <v>13</v>
      </c>
    </row>
    <row r="489" spans="1:6" x14ac:dyDescent="0.25">
      <c r="A489">
        <v>2015</v>
      </c>
      <c r="B489">
        <v>1141878</v>
      </c>
      <c r="C489">
        <v>615381</v>
      </c>
      <c r="D489">
        <v>526497</v>
      </c>
      <c r="E489" t="s">
        <v>14</v>
      </c>
      <c r="F489" t="s">
        <v>14</v>
      </c>
    </row>
    <row r="490" spans="1:6" x14ac:dyDescent="0.25">
      <c r="A490">
        <v>2015</v>
      </c>
      <c r="B490">
        <v>1025745</v>
      </c>
      <c r="C490">
        <v>490782</v>
      </c>
      <c r="D490">
        <v>534963</v>
      </c>
      <c r="E490" t="s">
        <v>15</v>
      </c>
      <c r="F490" t="s">
        <v>15</v>
      </c>
    </row>
    <row r="491" spans="1:6" x14ac:dyDescent="0.25">
      <c r="A491">
        <v>2015</v>
      </c>
      <c r="B491">
        <v>1147786</v>
      </c>
      <c r="C491">
        <v>627308</v>
      </c>
      <c r="D491">
        <v>520478</v>
      </c>
      <c r="E491" t="s">
        <v>16</v>
      </c>
      <c r="F491" t="s">
        <v>16</v>
      </c>
    </row>
    <row r="492" spans="1:6" x14ac:dyDescent="0.25">
      <c r="A492">
        <v>2015</v>
      </c>
      <c r="B492">
        <v>1098814</v>
      </c>
      <c r="C492">
        <v>574159</v>
      </c>
      <c r="D492">
        <v>524655</v>
      </c>
      <c r="E492" t="s">
        <v>39</v>
      </c>
      <c r="F492" t="s">
        <v>39</v>
      </c>
    </row>
    <row r="493" spans="1:6" x14ac:dyDescent="0.25">
      <c r="A493">
        <v>2015</v>
      </c>
      <c r="B493">
        <v>1067476</v>
      </c>
      <c r="C493">
        <v>528381</v>
      </c>
      <c r="D493">
        <v>539095</v>
      </c>
      <c r="E493" t="s">
        <v>17</v>
      </c>
      <c r="F493" t="s">
        <v>17</v>
      </c>
    </row>
    <row r="494" spans="1:6" x14ac:dyDescent="0.25">
      <c r="A494">
        <v>2015</v>
      </c>
      <c r="B494">
        <v>1056511</v>
      </c>
      <c r="C494">
        <v>514268</v>
      </c>
      <c r="D494">
        <v>542243</v>
      </c>
      <c r="E494" t="s">
        <v>18</v>
      </c>
      <c r="F494" t="s">
        <v>18</v>
      </c>
    </row>
    <row r="495" spans="1:6" x14ac:dyDescent="0.25">
      <c r="A495">
        <v>2015</v>
      </c>
      <c r="B495">
        <v>1130807</v>
      </c>
      <c r="C495">
        <v>602228</v>
      </c>
      <c r="D495">
        <v>528579</v>
      </c>
      <c r="E495" t="s">
        <v>19</v>
      </c>
      <c r="F495" t="s">
        <v>19</v>
      </c>
    </row>
    <row r="496" spans="1:6" x14ac:dyDescent="0.25">
      <c r="A496">
        <v>2015</v>
      </c>
      <c r="B496">
        <v>1093320</v>
      </c>
      <c r="C496">
        <v>537548</v>
      </c>
      <c r="D496">
        <v>555772</v>
      </c>
      <c r="E496" t="s">
        <v>20</v>
      </c>
      <c r="F496" t="s">
        <v>20</v>
      </c>
    </row>
    <row r="497" spans="1:6" x14ac:dyDescent="0.25">
      <c r="A497">
        <v>2015</v>
      </c>
      <c r="B497">
        <v>958016</v>
      </c>
      <c r="C497">
        <v>419440</v>
      </c>
      <c r="D497">
        <v>538576</v>
      </c>
      <c r="E497" t="s">
        <v>21</v>
      </c>
      <c r="F497" t="s">
        <v>21</v>
      </c>
    </row>
    <row r="498" spans="1:6" x14ac:dyDescent="0.25">
      <c r="A498">
        <v>2015</v>
      </c>
      <c r="B498">
        <v>1136287</v>
      </c>
      <c r="C498">
        <v>534632</v>
      </c>
      <c r="D498">
        <v>601655</v>
      </c>
      <c r="E498" t="s">
        <v>22</v>
      </c>
      <c r="F498" t="s">
        <v>22</v>
      </c>
    </row>
    <row r="499" spans="1:6" x14ac:dyDescent="0.25">
      <c r="A499">
        <v>2015</v>
      </c>
      <c r="B499">
        <v>1135027</v>
      </c>
      <c r="C499">
        <v>584305</v>
      </c>
      <c r="D499">
        <v>550722</v>
      </c>
      <c r="E499" t="s">
        <v>23</v>
      </c>
      <c r="F499" t="s">
        <v>23</v>
      </c>
    </row>
    <row r="500" spans="1:6" x14ac:dyDescent="0.25">
      <c r="A500">
        <v>2015</v>
      </c>
      <c r="B500">
        <v>1198163</v>
      </c>
      <c r="C500">
        <v>632011</v>
      </c>
      <c r="D500">
        <v>566152</v>
      </c>
      <c r="E500" t="s">
        <v>24</v>
      </c>
      <c r="F500" t="s">
        <v>24</v>
      </c>
    </row>
    <row r="501" spans="1:6" x14ac:dyDescent="0.25">
      <c r="A501">
        <v>2015</v>
      </c>
      <c r="B501">
        <v>1207646</v>
      </c>
      <c r="C501">
        <v>625280</v>
      </c>
      <c r="D501">
        <v>582366</v>
      </c>
      <c r="E501" t="s">
        <v>25</v>
      </c>
      <c r="F501" t="s">
        <v>25</v>
      </c>
    </row>
    <row r="502" spans="1:6" x14ac:dyDescent="0.25">
      <c r="A502">
        <v>2015</v>
      </c>
      <c r="B502">
        <v>970514</v>
      </c>
      <c r="C502">
        <v>436397</v>
      </c>
      <c r="D502">
        <v>534117</v>
      </c>
      <c r="E502" t="s">
        <v>26</v>
      </c>
      <c r="F502" t="s">
        <v>27</v>
      </c>
    </row>
    <row r="503" spans="1:6" x14ac:dyDescent="0.25">
      <c r="A503">
        <v>2015</v>
      </c>
      <c r="B503">
        <v>1154629</v>
      </c>
      <c r="C503">
        <v>555868</v>
      </c>
      <c r="D503">
        <v>598761</v>
      </c>
      <c r="E503" t="s">
        <v>28</v>
      </c>
      <c r="F503" t="s">
        <v>28</v>
      </c>
    </row>
    <row r="504" spans="1:6" x14ac:dyDescent="0.25">
      <c r="A504">
        <v>2015</v>
      </c>
      <c r="B504">
        <v>1050712</v>
      </c>
      <c r="C504">
        <v>514854</v>
      </c>
      <c r="D504">
        <v>535858</v>
      </c>
      <c r="E504" t="s">
        <v>29</v>
      </c>
      <c r="F504" t="s">
        <v>29</v>
      </c>
    </row>
    <row r="505" spans="1:6" x14ac:dyDescent="0.25">
      <c r="A505">
        <v>2015</v>
      </c>
      <c r="B505">
        <v>1056457</v>
      </c>
      <c r="C505">
        <v>534180</v>
      </c>
      <c r="D505">
        <v>522277</v>
      </c>
      <c r="E505" t="s">
        <v>30</v>
      </c>
      <c r="F505" t="s">
        <v>31</v>
      </c>
    </row>
    <row r="506" spans="1:6" x14ac:dyDescent="0.25">
      <c r="A506">
        <v>2015</v>
      </c>
      <c r="B506">
        <v>1082259</v>
      </c>
      <c r="C506">
        <v>566092</v>
      </c>
      <c r="D506">
        <v>516167</v>
      </c>
      <c r="E506" t="s">
        <v>32</v>
      </c>
      <c r="F506" t="s">
        <v>32</v>
      </c>
    </row>
    <row r="507" spans="1:6" x14ac:dyDescent="0.25">
      <c r="A507">
        <v>2015</v>
      </c>
      <c r="B507">
        <v>1097931</v>
      </c>
      <c r="C507">
        <v>552162</v>
      </c>
      <c r="D507">
        <v>545769</v>
      </c>
      <c r="E507" t="s">
        <v>33</v>
      </c>
      <c r="F507" t="s">
        <v>33</v>
      </c>
    </row>
    <row r="508" spans="1:6" x14ac:dyDescent="0.25">
      <c r="A508">
        <v>2015</v>
      </c>
      <c r="B508">
        <v>957670</v>
      </c>
      <c r="C508">
        <v>419220</v>
      </c>
      <c r="D508">
        <v>538450</v>
      </c>
      <c r="E508" t="s">
        <v>34</v>
      </c>
      <c r="F508" t="s">
        <v>35</v>
      </c>
    </row>
    <row r="509" spans="1:6" x14ac:dyDescent="0.25">
      <c r="A509">
        <v>2015</v>
      </c>
      <c r="B509">
        <v>1041376</v>
      </c>
      <c r="C509">
        <v>492460</v>
      </c>
      <c r="D509">
        <v>548916</v>
      </c>
      <c r="E509" t="s">
        <v>36</v>
      </c>
      <c r="F509" t="s">
        <v>36</v>
      </c>
    </row>
    <row r="510" spans="1:6" x14ac:dyDescent="0.25">
      <c r="A510">
        <v>2015</v>
      </c>
      <c r="B510">
        <v>1045359</v>
      </c>
      <c r="C510">
        <v>498435</v>
      </c>
      <c r="D510">
        <v>546924</v>
      </c>
      <c r="E510" t="s">
        <v>37</v>
      </c>
      <c r="F510" t="s">
        <v>37</v>
      </c>
    </row>
    <row r="511" spans="1:6" x14ac:dyDescent="0.25">
      <c r="A511">
        <v>2015</v>
      </c>
      <c r="B511">
        <v>1196087</v>
      </c>
      <c r="C511">
        <v>609672</v>
      </c>
      <c r="D511">
        <v>586415</v>
      </c>
      <c r="E511" t="s">
        <v>38</v>
      </c>
      <c r="F511" t="s">
        <v>38</v>
      </c>
    </row>
    <row r="512" spans="1:6" x14ac:dyDescent="0.25">
      <c r="A512">
        <v>2016</v>
      </c>
      <c r="B512">
        <v>1083135</v>
      </c>
      <c r="C512">
        <v>518652</v>
      </c>
      <c r="D512">
        <v>564483</v>
      </c>
      <c r="E512" t="s">
        <v>5</v>
      </c>
      <c r="F512" t="s">
        <v>5</v>
      </c>
    </row>
    <row r="513" spans="1:6" x14ac:dyDescent="0.25">
      <c r="A513">
        <v>2016</v>
      </c>
      <c r="B513">
        <v>1116392</v>
      </c>
      <c r="C513">
        <v>559998</v>
      </c>
      <c r="D513">
        <v>556394</v>
      </c>
      <c r="E513" t="s">
        <v>6</v>
      </c>
      <c r="F513" t="s">
        <v>6</v>
      </c>
    </row>
    <row r="514" spans="1:6" x14ac:dyDescent="0.25">
      <c r="A514">
        <v>2016</v>
      </c>
      <c r="B514">
        <v>1134133</v>
      </c>
      <c r="C514">
        <v>568823</v>
      </c>
      <c r="D514">
        <v>565310</v>
      </c>
      <c r="E514" t="s">
        <v>7</v>
      </c>
      <c r="F514" t="s">
        <v>7</v>
      </c>
    </row>
    <row r="515" spans="1:6" x14ac:dyDescent="0.25">
      <c r="A515">
        <v>2016</v>
      </c>
      <c r="B515">
        <v>1098702</v>
      </c>
      <c r="C515">
        <v>548073</v>
      </c>
      <c r="D515">
        <v>550629</v>
      </c>
      <c r="E515" t="s">
        <v>8</v>
      </c>
      <c r="F515" t="s">
        <v>8</v>
      </c>
    </row>
    <row r="516" spans="1:6" x14ac:dyDescent="0.25">
      <c r="A516">
        <v>2016</v>
      </c>
      <c r="B516">
        <v>1159680</v>
      </c>
      <c r="C516">
        <v>590343</v>
      </c>
      <c r="D516">
        <v>569337</v>
      </c>
      <c r="E516" t="s">
        <v>9</v>
      </c>
      <c r="F516" t="s">
        <v>9</v>
      </c>
    </row>
    <row r="517" spans="1:6" x14ac:dyDescent="0.25">
      <c r="A517">
        <v>2016</v>
      </c>
      <c r="B517">
        <v>1060607</v>
      </c>
      <c r="C517">
        <v>482951</v>
      </c>
      <c r="D517">
        <v>577656</v>
      </c>
      <c r="E517" t="s">
        <v>10</v>
      </c>
      <c r="F517" t="s">
        <v>10</v>
      </c>
    </row>
    <row r="518" spans="1:6" x14ac:dyDescent="0.25">
      <c r="A518">
        <v>2016</v>
      </c>
      <c r="B518">
        <v>1088770</v>
      </c>
      <c r="C518">
        <v>508071</v>
      </c>
      <c r="D518">
        <v>580699</v>
      </c>
      <c r="E518" t="s">
        <v>11</v>
      </c>
      <c r="F518" t="s">
        <v>11</v>
      </c>
    </row>
    <row r="519" spans="1:6" x14ac:dyDescent="0.25">
      <c r="A519">
        <v>2016</v>
      </c>
      <c r="B519">
        <v>1044825</v>
      </c>
      <c r="C519">
        <v>514489</v>
      </c>
      <c r="D519">
        <v>530336</v>
      </c>
      <c r="E519" t="s">
        <v>12</v>
      </c>
      <c r="F519" t="s">
        <v>12</v>
      </c>
    </row>
    <row r="520" spans="1:6" x14ac:dyDescent="0.25">
      <c r="A520">
        <v>2016</v>
      </c>
      <c r="B520">
        <v>1322087</v>
      </c>
      <c r="C520">
        <v>740318</v>
      </c>
      <c r="D520">
        <v>581769</v>
      </c>
      <c r="E520" t="s">
        <v>13</v>
      </c>
      <c r="F520" t="s">
        <v>13</v>
      </c>
    </row>
    <row r="521" spans="1:6" x14ac:dyDescent="0.25">
      <c r="A521">
        <v>2016</v>
      </c>
      <c r="B521">
        <v>1133943</v>
      </c>
      <c r="C521">
        <v>614193</v>
      </c>
      <c r="D521">
        <v>519750</v>
      </c>
      <c r="E521" t="s">
        <v>14</v>
      </c>
      <c r="F521" t="s">
        <v>14</v>
      </c>
    </row>
    <row r="522" spans="1:6" x14ac:dyDescent="0.25">
      <c r="A522">
        <v>2016</v>
      </c>
      <c r="B522">
        <v>1075305</v>
      </c>
      <c r="C522">
        <v>486342</v>
      </c>
      <c r="D522">
        <v>588963</v>
      </c>
      <c r="E522" t="s">
        <v>15</v>
      </c>
      <c r="F522" t="s">
        <v>15</v>
      </c>
    </row>
    <row r="523" spans="1:6" x14ac:dyDescent="0.25">
      <c r="A523">
        <v>2016</v>
      </c>
      <c r="B523">
        <v>1169215</v>
      </c>
      <c r="C523">
        <v>625727</v>
      </c>
      <c r="D523">
        <v>543488</v>
      </c>
      <c r="E523" t="s">
        <v>16</v>
      </c>
      <c r="F523" t="s">
        <v>16</v>
      </c>
    </row>
    <row r="524" spans="1:6" x14ac:dyDescent="0.25">
      <c r="A524">
        <v>2016</v>
      </c>
      <c r="B524">
        <v>1132210</v>
      </c>
      <c r="C524">
        <v>574947</v>
      </c>
      <c r="D524">
        <v>557263</v>
      </c>
      <c r="E524" t="s">
        <v>39</v>
      </c>
      <c r="F524" t="s">
        <v>39</v>
      </c>
    </row>
    <row r="525" spans="1:6" x14ac:dyDescent="0.25">
      <c r="A525">
        <v>2016</v>
      </c>
      <c r="B525">
        <v>1100210</v>
      </c>
      <c r="C525">
        <v>524393</v>
      </c>
      <c r="D525">
        <v>575817</v>
      </c>
      <c r="E525" t="s">
        <v>17</v>
      </c>
      <c r="F525" t="s">
        <v>17</v>
      </c>
    </row>
    <row r="526" spans="1:6" x14ac:dyDescent="0.25">
      <c r="A526">
        <v>2016</v>
      </c>
      <c r="B526">
        <v>1031602</v>
      </c>
      <c r="C526">
        <v>517172</v>
      </c>
      <c r="D526">
        <v>514430</v>
      </c>
      <c r="E526" t="s">
        <v>18</v>
      </c>
      <c r="F526" t="s">
        <v>18</v>
      </c>
    </row>
    <row r="527" spans="1:6" x14ac:dyDescent="0.25">
      <c r="A527">
        <v>2016</v>
      </c>
      <c r="B527">
        <v>1115214</v>
      </c>
      <c r="C527">
        <v>586624</v>
      </c>
      <c r="D527">
        <v>528590</v>
      </c>
      <c r="E527" t="s">
        <v>19</v>
      </c>
      <c r="F527" t="s">
        <v>19</v>
      </c>
    </row>
    <row r="528" spans="1:6" x14ac:dyDescent="0.25">
      <c r="A528">
        <v>2016</v>
      </c>
      <c r="B528">
        <v>1198268</v>
      </c>
      <c r="C528">
        <v>665318</v>
      </c>
      <c r="D528">
        <v>532950</v>
      </c>
      <c r="E528" t="s">
        <v>35</v>
      </c>
      <c r="F528" t="s">
        <v>35</v>
      </c>
    </row>
    <row r="529" spans="1:6" x14ac:dyDescent="0.25">
      <c r="A529">
        <v>2016</v>
      </c>
      <c r="B529">
        <v>1073132</v>
      </c>
      <c r="C529">
        <v>524101</v>
      </c>
      <c r="D529">
        <v>549031</v>
      </c>
      <c r="E529" t="s">
        <v>20</v>
      </c>
      <c r="F529" t="s">
        <v>20</v>
      </c>
    </row>
    <row r="530" spans="1:6" x14ac:dyDescent="0.25">
      <c r="A530">
        <v>2016</v>
      </c>
      <c r="B530">
        <v>1084502</v>
      </c>
      <c r="C530">
        <v>534289</v>
      </c>
      <c r="D530">
        <v>550213</v>
      </c>
      <c r="E530" t="s">
        <v>21</v>
      </c>
      <c r="F530" t="s">
        <v>21</v>
      </c>
    </row>
    <row r="531" spans="1:6" x14ac:dyDescent="0.25">
      <c r="A531">
        <v>2016</v>
      </c>
      <c r="B531">
        <v>1094772</v>
      </c>
      <c r="C531">
        <v>534632</v>
      </c>
      <c r="D531">
        <v>560140</v>
      </c>
      <c r="E531" t="s">
        <v>22</v>
      </c>
      <c r="F531" t="s">
        <v>22</v>
      </c>
    </row>
    <row r="532" spans="1:6" x14ac:dyDescent="0.25">
      <c r="A532">
        <v>2016</v>
      </c>
      <c r="B532">
        <v>1141039</v>
      </c>
      <c r="C532">
        <v>584876</v>
      </c>
      <c r="D532">
        <v>556163</v>
      </c>
      <c r="E532" t="s">
        <v>23</v>
      </c>
      <c r="F532" t="s">
        <v>23</v>
      </c>
    </row>
    <row r="533" spans="1:6" x14ac:dyDescent="0.25">
      <c r="A533">
        <v>2016</v>
      </c>
      <c r="B533">
        <v>1217320</v>
      </c>
      <c r="C533">
        <v>630315</v>
      </c>
      <c r="D533">
        <v>587005</v>
      </c>
      <c r="E533" t="s">
        <v>24</v>
      </c>
      <c r="F533" t="s">
        <v>24</v>
      </c>
    </row>
    <row r="534" spans="1:6" x14ac:dyDescent="0.25">
      <c r="A534">
        <v>2016</v>
      </c>
      <c r="B534">
        <v>1168377</v>
      </c>
      <c r="C534">
        <v>625280</v>
      </c>
      <c r="D534">
        <v>543097</v>
      </c>
      <c r="E534" t="s">
        <v>25</v>
      </c>
      <c r="F534" t="s">
        <v>25</v>
      </c>
    </row>
    <row r="535" spans="1:6" x14ac:dyDescent="0.25">
      <c r="A535">
        <v>2016</v>
      </c>
      <c r="B535">
        <v>1009172</v>
      </c>
      <c r="C535">
        <v>458561</v>
      </c>
      <c r="D535">
        <v>550611</v>
      </c>
      <c r="E535" t="s">
        <v>26</v>
      </c>
      <c r="F535" t="s">
        <v>27</v>
      </c>
    </row>
    <row r="536" spans="1:6" x14ac:dyDescent="0.25">
      <c r="A536">
        <v>2016</v>
      </c>
      <c r="B536">
        <v>1125298</v>
      </c>
      <c r="C536">
        <v>556768</v>
      </c>
      <c r="D536">
        <v>568530</v>
      </c>
      <c r="E536" t="s">
        <v>28</v>
      </c>
      <c r="F536" t="s">
        <v>28</v>
      </c>
    </row>
    <row r="537" spans="1:6" x14ac:dyDescent="0.25">
      <c r="A537">
        <v>2016</v>
      </c>
      <c r="B537">
        <v>1065627</v>
      </c>
      <c r="C537">
        <v>514503</v>
      </c>
      <c r="D537">
        <v>551124</v>
      </c>
      <c r="E537" t="s">
        <v>29</v>
      </c>
      <c r="F537" t="s">
        <v>29</v>
      </c>
    </row>
    <row r="538" spans="1:6" x14ac:dyDescent="0.25">
      <c r="A538">
        <v>2016</v>
      </c>
      <c r="B538">
        <v>998070</v>
      </c>
      <c r="C538">
        <v>456197</v>
      </c>
      <c r="D538">
        <v>541873</v>
      </c>
      <c r="E538" t="s">
        <v>30</v>
      </c>
      <c r="F538" t="s">
        <v>31</v>
      </c>
    </row>
    <row r="539" spans="1:6" x14ac:dyDescent="0.25">
      <c r="A539">
        <v>2016</v>
      </c>
      <c r="B539">
        <v>1119165</v>
      </c>
      <c r="C539">
        <v>561424</v>
      </c>
      <c r="D539">
        <v>557741</v>
      </c>
      <c r="E539" t="s">
        <v>32</v>
      </c>
      <c r="F539" t="s">
        <v>32</v>
      </c>
    </row>
    <row r="540" spans="1:6" x14ac:dyDescent="0.25">
      <c r="A540">
        <v>2016</v>
      </c>
      <c r="B540">
        <v>1138809</v>
      </c>
      <c r="C540">
        <v>552588</v>
      </c>
      <c r="D540">
        <v>586221</v>
      </c>
      <c r="E540" t="s">
        <v>33</v>
      </c>
      <c r="F540" t="s">
        <v>33</v>
      </c>
    </row>
    <row r="541" spans="1:6" x14ac:dyDescent="0.25">
      <c r="A541">
        <v>2016</v>
      </c>
      <c r="B541">
        <v>1054600</v>
      </c>
      <c r="C541">
        <v>484998</v>
      </c>
      <c r="D541">
        <v>569602</v>
      </c>
      <c r="E541" t="s">
        <v>36</v>
      </c>
      <c r="F541" t="s">
        <v>36</v>
      </c>
    </row>
    <row r="542" spans="1:6" x14ac:dyDescent="0.25">
      <c r="A542">
        <v>2016</v>
      </c>
      <c r="B542">
        <v>1016507</v>
      </c>
      <c r="C542">
        <v>517273</v>
      </c>
      <c r="D542">
        <v>499234</v>
      </c>
      <c r="E542" t="s">
        <v>37</v>
      </c>
      <c r="F542" t="s">
        <v>37</v>
      </c>
    </row>
    <row r="543" spans="1:6" x14ac:dyDescent="0.25">
      <c r="A543">
        <v>2016</v>
      </c>
      <c r="B543">
        <v>1206654</v>
      </c>
      <c r="C543">
        <v>626432</v>
      </c>
      <c r="D543">
        <v>580222</v>
      </c>
      <c r="E543" t="s">
        <v>38</v>
      </c>
      <c r="F543" t="s">
        <v>38</v>
      </c>
    </row>
    <row r="544" spans="1:6" x14ac:dyDescent="0.25">
      <c r="A544">
        <v>2017</v>
      </c>
      <c r="B544">
        <v>1063084</v>
      </c>
      <c r="C544">
        <v>513741</v>
      </c>
      <c r="D544">
        <v>549343</v>
      </c>
      <c r="E544" t="s">
        <v>5</v>
      </c>
      <c r="F544" t="s">
        <v>5</v>
      </c>
    </row>
    <row r="545" spans="1:6" x14ac:dyDescent="0.25">
      <c r="A545">
        <v>2017</v>
      </c>
      <c r="B545">
        <v>1123058</v>
      </c>
      <c r="C545">
        <v>575681</v>
      </c>
      <c r="D545">
        <v>547377</v>
      </c>
      <c r="E545" t="s">
        <v>6</v>
      </c>
      <c r="F545" t="s">
        <v>6</v>
      </c>
    </row>
    <row r="546" spans="1:6" x14ac:dyDescent="0.25">
      <c r="A546">
        <v>2017</v>
      </c>
      <c r="B546">
        <v>1088056</v>
      </c>
      <c r="C546">
        <v>564709</v>
      </c>
      <c r="D546">
        <v>523347</v>
      </c>
      <c r="E546" t="s">
        <v>7</v>
      </c>
      <c r="F546" t="s">
        <v>7</v>
      </c>
    </row>
    <row r="547" spans="1:6" x14ac:dyDescent="0.25">
      <c r="A547">
        <v>2017</v>
      </c>
      <c r="B547">
        <v>1040917</v>
      </c>
      <c r="C547">
        <v>534200</v>
      </c>
      <c r="D547">
        <v>506717</v>
      </c>
      <c r="E547" t="s">
        <v>8</v>
      </c>
      <c r="F547" t="s">
        <v>8</v>
      </c>
    </row>
    <row r="548" spans="1:6" x14ac:dyDescent="0.25">
      <c r="A548">
        <v>2017</v>
      </c>
      <c r="B548">
        <v>1133961</v>
      </c>
      <c r="C548">
        <v>588942</v>
      </c>
      <c r="D548">
        <v>545019</v>
      </c>
      <c r="E548" t="s">
        <v>9</v>
      </c>
      <c r="F548" t="s">
        <v>9</v>
      </c>
    </row>
    <row r="549" spans="1:6" x14ac:dyDescent="0.25">
      <c r="A549">
        <v>2017</v>
      </c>
      <c r="B549">
        <v>1021219</v>
      </c>
      <c r="C549">
        <v>488137</v>
      </c>
      <c r="D549">
        <v>533082</v>
      </c>
      <c r="E549" t="s">
        <v>10</v>
      </c>
      <c r="F549" t="s">
        <v>10</v>
      </c>
    </row>
    <row r="550" spans="1:6" x14ac:dyDescent="0.25">
      <c r="A550">
        <v>2017</v>
      </c>
      <c r="B550">
        <v>978253</v>
      </c>
      <c r="C550">
        <v>425937</v>
      </c>
      <c r="D550">
        <v>552316</v>
      </c>
      <c r="E550" t="s">
        <v>11</v>
      </c>
      <c r="F550" t="s">
        <v>11</v>
      </c>
    </row>
    <row r="551" spans="1:6" x14ac:dyDescent="0.25">
      <c r="A551">
        <v>2017</v>
      </c>
      <c r="B551">
        <v>968007</v>
      </c>
      <c r="C551">
        <v>511060</v>
      </c>
      <c r="D551">
        <v>456947</v>
      </c>
      <c r="E551" t="s">
        <v>12</v>
      </c>
      <c r="F551" t="s">
        <v>12</v>
      </c>
    </row>
    <row r="552" spans="1:6" x14ac:dyDescent="0.25">
      <c r="A552">
        <v>2017</v>
      </c>
      <c r="B552">
        <v>1309211</v>
      </c>
      <c r="C552">
        <v>741775</v>
      </c>
      <c r="D552">
        <v>567436</v>
      </c>
      <c r="E552" t="s">
        <v>13</v>
      </c>
      <c r="F552" t="s">
        <v>13</v>
      </c>
    </row>
    <row r="553" spans="1:6" x14ac:dyDescent="0.25">
      <c r="A553">
        <v>2017</v>
      </c>
      <c r="B553">
        <v>1106590</v>
      </c>
      <c r="C553">
        <v>610846</v>
      </c>
      <c r="D553">
        <v>495744</v>
      </c>
      <c r="E553" t="s">
        <v>14</v>
      </c>
      <c r="F553" t="s">
        <v>14</v>
      </c>
    </row>
    <row r="554" spans="1:6" x14ac:dyDescent="0.25">
      <c r="A554">
        <v>2017</v>
      </c>
      <c r="B554">
        <v>1046765</v>
      </c>
      <c r="C554">
        <v>513100</v>
      </c>
      <c r="D554">
        <v>533665</v>
      </c>
      <c r="E554" t="s">
        <v>15</v>
      </c>
      <c r="F554" t="s">
        <v>15</v>
      </c>
    </row>
    <row r="555" spans="1:6" x14ac:dyDescent="0.25">
      <c r="A555">
        <v>2017</v>
      </c>
      <c r="B555">
        <v>1183556</v>
      </c>
      <c r="C555">
        <v>624742</v>
      </c>
      <c r="D555">
        <v>558814</v>
      </c>
      <c r="E555" t="s">
        <v>16</v>
      </c>
      <c r="F555" t="s">
        <v>16</v>
      </c>
    </row>
    <row r="556" spans="1:6" x14ac:dyDescent="0.25">
      <c r="A556">
        <v>2017</v>
      </c>
      <c r="B556">
        <v>1080447</v>
      </c>
      <c r="C556">
        <v>574197</v>
      </c>
      <c r="D556">
        <v>506250</v>
      </c>
      <c r="E556" t="s">
        <v>39</v>
      </c>
      <c r="F556" t="s">
        <v>39</v>
      </c>
    </row>
    <row r="557" spans="1:6" x14ac:dyDescent="0.25">
      <c r="A557">
        <v>2017</v>
      </c>
      <c r="B557">
        <v>1022042</v>
      </c>
      <c r="C557">
        <v>507525</v>
      </c>
      <c r="D557">
        <v>514517</v>
      </c>
      <c r="E557" t="s">
        <v>17</v>
      </c>
      <c r="F557" t="s">
        <v>17</v>
      </c>
    </row>
    <row r="558" spans="1:6" x14ac:dyDescent="0.25">
      <c r="A558">
        <v>2017</v>
      </c>
      <c r="B558">
        <v>1049568</v>
      </c>
      <c r="C558">
        <v>514427</v>
      </c>
      <c r="D558">
        <v>535141</v>
      </c>
      <c r="E558" t="s">
        <v>18</v>
      </c>
      <c r="F558" t="s">
        <v>18</v>
      </c>
    </row>
    <row r="559" spans="1:6" x14ac:dyDescent="0.25">
      <c r="A559">
        <v>2017</v>
      </c>
      <c r="B559">
        <v>1134166</v>
      </c>
      <c r="C559">
        <v>592851</v>
      </c>
      <c r="D559">
        <v>541315</v>
      </c>
      <c r="E559" t="s">
        <v>19</v>
      </c>
      <c r="F559" t="s">
        <v>19</v>
      </c>
    </row>
    <row r="560" spans="1:6" x14ac:dyDescent="0.25">
      <c r="A560">
        <v>2017</v>
      </c>
      <c r="B560">
        <v>783367</v>
      </c>
      <c r="C560">
        <v>202687</v>
      </c>
      <c r="D560">
        <v>580680</v>
      </c>
      <c r="E560" t="s">
        <v>31</v>
      </c>
      <c r="F560" t="s">
        <v>31</v>
      </c>
    </row>
    <row r="561" spans="1:6" x14ac:dyDescent="0.25">
      <c r="A561">
        <v>2017</v>
      </c>
      <c r="B561">
        <v>1062261</v>
      </c>
      <c r="C561">
        <v>507136</v>
      </c>
      <c r="D561">
        <v>555125</v>
      </c>
      <c r="E561" t="s">
        <v>35</v>
      </c>
      <c r="F561" t="s">
        <v>35</v>
      </c>
    </row>
    <row r="562" spans="1:6" x14ac:dyDescent="0.25">
      <c r="A562">
        <v>2017</v>
      </c>
      <c r="B562">
        <v>1051161</v>
      </c>
      <c r="C562">
        <v>541022</v>
      </c>
      <c r="D562">
        <v>510139</v>
      </c>
      <c r="E562" t="s">
        <v>20</v>
      </c>
      <c r="F562" t="s">
        <v>20</v>
      </c>
    </row>
    <row r="563" spans="1:6" x14ac:dyDescent="0.25">
      <c r="A563">
        <v>2017</v>
      </c>
      <c r="B563">
        <v>1099905</v>
      </c>
      <c r="C563">
        <v>533769</v>
      </c>
      <c r="D563">
        <v>566136</v>
      </c>
      <c r="E563" t="s">
        <v>21</v>
      </c>
      <c r="F563" t="s">
        <v>21</v>
      </c>
    </row>
    <row r="564" spans="1:6" x14ac:dyDescent="0.25">
      <c r="A564">
        <v>2017</v>
      </c>
      <c r="B564">
        <v>1099028</v>
      </c>
      <c r="C564">
        <v>527024</v>
      </c>
      <c r="D564">
        <v>572004</v>
      </c>
      <c r="E564" t="s">
        <v>22</v>
      </c>
      <c r="F564" t="s">
        <v>22</v>
      </c>
    </row>
    <row r="565" spans="1:6" x14ac:dyDescent="0.25">
      <c r="A565">
        <v>2017</v>
      </c>
      <c r="B565">
        <v>1146046</v>
      </c>
      <c r="C565">
        <v>585113</v>
      </c>
      <c r="D565">
        <v>560933</v>
      </c>
      <c r="E565" t="s">
        <v>23</v>
      </c>
      <c r="F565" t="s">
        <v>23</v>
      </c>
    </row>
    <row r="566" spans="1:6" x14ac:dyDescent="0.25">
      <c r="A566">
        <v>2017</v>
      </c>
      <c r="B566">
        <v>1183037</v>
      </c>
      <c r="C566">
        <v>617434</v>
      </c>
      <c r="D566">
        <v>565603</v>
      </c>
      <c r="E566" t="s">
        <v>24</v>
      </c>
      <c r="F566" t="s">
        <v>24</v>
      </c>
    </row>
    <row r="567" spans="1:6" x14ac:dyDescent="0.25">
      <c r="A567">
        <v>2017</v>
      </c>
      <c r="B567">
        <v>1143358</v>
      </c>
      <c r="C567">
        <v>620496</v>
      </c>
      <c r="D567">
        <v>522862</v>
      </c>
      <c r="E567" t="s">
        <v>25</v>
      </c>
      <c r="F567" t="s">
        <v>25</v>
      </c>
    </row>
    <row r="568" spans="1:6" x14ac:dyDescent="0.25">
      <c r="A568">
        <v>2017</v>
      </c>
      <c r="B568">
        <v>988483</v>
      </c>
      <c r="C568">
        <v>461137</v>
      </c>
      <c r="D568">
        <v>527346</v>
      </c>
      <c r="E568" t="s">
        <v>26</v>
      </c>
      <c r="F568" t="s">
        <v>27</v>
      </c>
    </row>
    <row r="569" spans="1:6" x14ac:dyDescent="0.25">
      <c r="A569">
        <v>2017</v>
      </c>
      <c r="B569">
        <v>1117141</v>
      </c>
      <c r="C569">
        <v>556768</v>
      </c>
      <c r="D569">
        <v>560373</v>
      </c>
      <c r="E569" t="s">
        <v>28</v>
      </c>
      <c r="F569" t="s">
        <v>28</v>
      </c>
    </row>
    <row r="570" spans="1:6" x14ac:dyDescent="0.25">
      <c r="A570">
        <v>2017</v>
      </c>
      <c r="B570">
        <v>1035491</v>
      </c>
      <c r="C570">
        <v>499768</v>
      </c>
      <c r="D570">
        <v>535723</v>
      </c>
      <c r="E570" t="s">
        <v>29</v>
      </c>
      <c r="F570" t="s">
        <v>29</v>
      </c>
    </row>
    <row r="571" spans="1:6" x14ac:dyDescent="0.25">
      <c r="A571">
        <v>2017</v>
      </c>
      <c r="B571">
        <v>1104010</v>
      </c>
      <c r="C571">
        <v>561155</v>
      </c>
      <c r="D571">
        <v>542855</v>
      </c>
      <c r="E571" t="s">
        <v>32</v>
      </c>
      <c r="F571" t="s">
        <v>32</v>
      </c>
    </row>
    <row r="572" spans="1:6" x14ac:dyDescent="0.25">
      <c r="A572">
        <v>2017</v>
      </c>
      <c r="B572">
        <v>1129943</v>
      </c>
      <c r="C572">
        <v>551809</v>
      </c>
      <c r="D572">
        <v>578134</v>
      </c>
      <c r="E572" t="s">
        <v>33</v>
      </c>
      <c r="F572" t="s">
        <v>33</v>
      </c>
    </row>
    <row r="573" spans="1:6" x14ac:dyDescent="0.25">
      <c r="A573">
        <v>2017</v>
      </c>
      <c r="B573">
        <v>1036961</v>
      </c>
      <c r="C573">
        <v>479618</v>
      </c>
      <c r="D573">
        <v>557343</v>
      </c>
      <c r="E573" t="s">
        <v>36</v>
      </c>
      <c r="F573" t="s">
        <v>36</v>
      </c>
    </row>
    <row r="574" spans="1:6" x14ac:dyDescent="0.25">
      <c r="A574">
        <v>2017</v>
      </c>
      <c r="B574">
        <v>1040119</v>
      </c>
      <c r="C574">
        <v>525214</v>
      </c>
      <c r="D574">
        <v>514905</v>
      </c>
      <c r="E574" t="s">
        <v>37</v>
      </c>
      <c r="F574" t="s">
        <v>37</v>
      </c>
    </row>
    <row r="575" spans="1:6" x14ac:dyDescent="0.25">
      <c r="A575">
        <v>2017</v>
      </c>
      <c r="B575">
        <v>1137639</v>
      </c>
      <c r="C575">
        <v>601405</v>
      </c>
      <c r="D575">
        <v>536234</v>
      </c>
      <c r="E575" t="s">
        <v>38</v>
      </c>
      <c r="F575" t="s">
        <v>38</v>
      </c>
    </row>
    <row r="576" spans="1:6" x14ac:dyDescent="0.25">
      <c r="A576">
        <v>2018</v>
      </c>
      <c r="B576">
        <v>1018127</v>
      </c>
      <c r="C576">
        <v>496111</v>
      </c>
      <c r="D576">
        <v>522016</v>
      </c>
      <c r="E576" t="s">
        <v>5</v>
      </c>
      <c r="F576" t="s">
        <v>5</v>
      </c>
    </row>
    <row r="577" spans="1:6" x14ac:dyDescent="0.25">
      <c r="A577">
        <v>2018</v>
      </c>
      <c r="B577">
        <v>1119143</v>
      </c>
      <c r="C577">
        <v>583184</v>
      </c>
      <c r="D577">
        <v>535959</v>
      </c>
      <c r="E577" t="s">
        <v>6</v>
      </c>
      <c r="F577" t="s">
        <v>6</v>
      </c>
    </row>
    <row r="578" spans="1:6" x14ac:dyDescent="0.25">
      <c r="A578">
        <v>2018</v>
      </c>
      <c r="B578">
        <v>1053383</v>
      </c>
      <c r="C578">
        <v>563451</v>
      </c>
      <c r="D578">
        <v>489932</v>
      </c>
      <c r="E578" t="s">
        <v>7</v>
      </c>
      <c r="F578" t="s">
        <v>7</v>
      </c>
    </row>
    <row r="579" spans="1:6" x14ac:dyDescent="0.25">
      <c r="A579">
        <v>2018</v>
      </c>
      <c r="B579">
        <v>1072899</v>
      </c>
      <c r="C579">
        <v>519695</v>
      </c>
      <c r="D579">
        <v>553204</v>
      </c>
      <c r="E579" t="s">
        <v>8</v>
      </c>
      <c r="F579" t="s">
        <v>8</v>
      </c>
    </row>
    <row r="580" spans="1:6" x14ac:dyDescent="0.25">
      <c r="A580">
        <v>2018</v>
      </c>
      <c r="B580">
        <v>1102756</v>
      </c>
      <c r="C580">
        <v>590182</v>
      </c>
      <c r="D580">
        <v>512574</v>
      </c>
      <c r="E580" t="s">
        <v>9</v>
      </c>
      <c r="F580" t="s">
        <v>9</v>
      </c>
    </row>
    <row r="581" spans="1:6" x14ac:dyDescent="0.25">
      <c r="A581">
        <v>2018</v>
      </c>
      <c r="B581">
        <v>1045568</v>
      </c>
      <c r="C581">
        <v>490750</v>
      </c>
      <c r="D581">
        <v>554818</v>
      </c>
      <c r="E581" t="s">
        <v>10</v>
      </c>
      <c r="F581" t="s">
        <v>10</v>
      </c>
    </row>
    <row r="582" spans="1:6" x14ac:dyDescent="0.25">
      <c r="A582">
        <v>2018</v>
      </c>
      <c r="B582">
        <v>911289</v>
      </c>
      <c r="C582">
        <v>406028</v>
      </c>
      <c r="D582">
        <v>505261</v>
      </c>
      <c r="E582" t="s">
        <v>11</v>
      </c>
      <c r="F582" t="s">
        <v>11</v>
      </c>
    </row>
    <row r="583" spans="1:6" x14ac:dyDescent="0.25">
      <c r="A583">
        <v>2018</v>
      </c>
      <c r="B583">
        <v>1045441</v>
      </c>
      <c r="C583">
        <v>526122</v>
      </c>
      <c r="D583">
        <v>519319</v>
      </c>
      <c r="E583" t="s">
        <v>12</v>
      </c>
      <c r="F583" t="s">
        <v>12</v>
      </c>
    </row>
    <row r="584" spans="1:6" x14ac:dyDescent="0.25">
      <c r="A584">
        <v>2018</v>
      </c>
      <c r="B584">
        <v>1303393</v>
      </c>
      <c r="C584">
        <v>732958</v>
      </c>
      <c r="D584">
        <v>570435</v>
      </c>
      <c r="E584" t="s">
        <v>13</v>
      </c>
      <c r="F584" t="s">
        <v>13</v>
      </c>
    </row>
    <row r="585" spans="1:6" x14ac:dyDescent="0.25">
      <c r="A585">
        <v>2018</v>
      </c>
      <c r="B585">
        <v>1092324</v>
      </c>
      <c r="C585">
        <v>611571</v>
      </c>
      <c r="D585">
        <v>480753</v>
      </c>
      <c r="E585" t="s">
        <v>14</v>
      </c>
      <c r="F585" t="s">
        <v>14</v>
      </c>
    </row>
    <row r="586" spans="1:6" x14ac:dyDescent="0.25">
      <c r="A586">
        <v>2018</v>
      </c>
      <c r="B586">
        <v>1054328</v>
      </c>
      <c r="C586">
        <v>502061</v>
      </c>
      <c r="D586">
        <v>552267</v>
      </c>
      <c r="E586" t="s">
        <v>15</v>
      </c>
      <c r="F586" t="s">
        <v>15</v>
      </c>
    </row>
    <row r="587" spans="1:6" x14ac:dyDescent="0.25">
      <c r="A587">
        <v>2018</v>
      </c>
      <c r="B587">
        <v>1163842</v>
      </c>
      <c r="C587">
        <v>622677</v>
      </c>
      <c r="D587">
        <v>541165</v>
      </c>
      <c r="E587" t="s">
        <v>16</v>
      </c>
      <c r="F587" t="s">
        <v>16</v>
      </c>
    </row>
    <row r="588" spans="1:6" x14ac:dyDescent="0.25">
      <c r="A588">
        <v>2018</v>
      </c>
      <c r="B588">
        <v>1112480</v>
      </c>
      <c r="C588">
        <v>574439</v>
      </c>
      <c r="D588">
        <v>538041</v>
      </c>
      <c r="E588" t="s">
        <v>39</v>
      </c>
      <c r="F588" t="s">
        <v>39</v>
      </c>
    </row>
    <row r="589" spans="1:6" x14ac:dyDescent="0.25">
      <c r="A589">
        <v>2018</v>
      </c>
      <c r="B589">
        <v>1006361</v>
      </c>
      <c r="C589">
        <v>473598</v>
      </c>
      <c r="D589">
        <v>532763</v>
      </c>
      <c r="E589" t="s">
        <v>17</v>
      </c>
      <c r="F589" t="s">
        <v>17</v>
      </c>
    </row>
    <row r="590" spans="1:6" x14ac:dyDescent="0.25">
      <c r="A590">
        <v>2018</v>
      </c>
      <c r="B590">
        <v>1109899</v>
      </c>
      <c r="C590">
        <v>552589</v>
      </c>
      <c r="D590">
        <v>557310</v>
      </c>
      <c r="E590" t="s">
        <v>18</v>
      </c>
      <c r="F590" t="s">
        <v>18</v>
      </c>
    </row>
    <row r="591" spans="1:6" x14ac:dyDescent="0.25">
      <c r="A591">
        <v>2018</v>
      </c>
      <c r="B591">
        <v>1107376</v>
      </c>
      <c r="C591">
        <v>607780</v>
      </c>
      <c r="D591">
        <v>499596</v>
      </c>
      <c r="E591" t="s">
        <v>19</v>
      </c>
      <c r="F591" t="s">
        <v>19</v>
      </c>
    </row>
    <row r="592" spans="1:6" x14ac:dyDescent="0.25">
      <c r="A592">
        <v>2018</v>
      </c>
      <c r="B592">
        <v>803556</v>
      </c>
      <c r="C592">
        <v>262145</v>
      </c>
      <c r="D592">
        <v>541411</v>
      </c>
      <c r="E592" t="s">
        <v>31</v>
      </c>
      <c r="F592" t="s">
        <v>31</v>
      </c>
    </row>
    <row r="593" spans="1:6" x14ac:dyDescent="0.25">
      <c r="A593">
        <v>2018</v>
      </c>
      <c r="B593">
        <v>1102409</v>
      </c>
      <c r="C593">
        <v>579439</v>
      </c>
      <c r="D593">
        <v>522970</v>
      </c>
      <c r="E593" t="s">
        <v>35</v>
      </c>
      <c r="F593" t="s">
        <v>35</v>
      </c>
    </row>
    <row r="594" spans="1:6" x14ac:dyDescent="0.25">
      <c r="A594">
        <v>2018</v>
      </c>
      <c r="B594">
        <v>1062180</v>
      </c>
      <c r="C594">
        <v>524480</v>
      </c>
      <c r="D594">
        <v>537700</v>
      </c>
      <c r="E594" t="s">
        <v>20</v>
      </c>
      <c r="F594" t="s">
        <v>20</v>
      </c>
    </row>
    <row r="595" spans="1:6" x14ac:dyDescent="0.25">
      <c r="A595">
        <v>2018</v>
      </c>
      <c r="B595">
        <v>1090834</v>
      </c>
      <c r="C595">
        <v>534491</v>
      </c>
      <c r="D595">
        <v>556343</v>
      </c>
      <c r="E595" t="s">
        <v>21</v>
      </c>
      <c r="F595" t="s">
        <v>21</v>
      </c>
    </row>
    <row r="596" spans="1:6" x14ac:dyDescent="0.25">
      <c r="A596">
        <v>2018</v>
      </c>
      <c r="B596">
        <v>1068530</v>
      </c>
      <c r="C596">
        <v>527024</v>
      </c>
      <c r="D596">
        <v>541506</v>
      </c>
      <c r="E596" t="s">
        <v>22</v>
      </c>
      <c r="F596" t="s">
        <v>22</v>
      </c>
    </row>
    <row r="597" spans="1:6" x14ac:dyDescent="0.25">
      <c r="A597">
        <v>2018</v>
      </c>
      <c r="B597">
        <v>1147700</v>
      </c>
      <c r="C597">
        <v>584411</v>
      </c>
      <c r="D597">
        <v>563289</v>
      </c>
      <c r="E597" t="s">
        <v>23</v>
      </c>
      <c r="F597" t="s">
        <v>23</v>
      </c>
    </row>
    <row r="598" spans="1:6" x14ac:dyDescent="0.25">
      <c r="A598">
        <v>2018</v>
      </c>
      <c r="B598">
        <v>1183132</v>
      </c>
      <c r="C598">
        <v>615525</v>
      </c>
      <c r="D598">
        <v>567607</v>
      </c>
      <c r="E598" t="s">
        <v>24</v>
      </c>
      <c r="F598" t="s">
        <v>24</v>
      </c>
    </row>
    <row r="599" spans="1:6" x14ac:dyDescent="0.25">
      <c r="A599">
        <v>2018</v>
      </c>
      <c r="B599">
        <v>1130823</v>
      </c>
      <c r="C599">
        <v>623856</v>
      </c>
      <c r="D599">
        <v>506967</v>
      </c>
      <c r="E599" t="s">
        <v>25</v>
      </c>
      <c r="F599" t="s">
        <v>25</v>
      </c>
    </row>
    <row r="600" spans="1:6" x14ac:dyDescent="0.25">
      <c r="A600">
        <v>2018</v>
      </c>
      <c r="B600">
        <v>955258</v>
      </c>
      <c r="C600">
        <v>463353</v>
      </c>
      <c r="D600">
        <v>491905</v>
      </c>
      <c r="E600" t="s">
        <v>26</v>
      </c>
      <c r="F600" t="s">
        <v>27</v>
      </c>
    </row>
    <row r="601" spans="1:6" x14ac:dyDescent="0.25">
      <c r="A601">
        <v>2018</v>
      </c>
      <c r="B601">
        <v>1149737</v>
      </c>
      <c r="C601">
        <v>557568</v>
      </c>
      <c r="D601">
        <v>592169</v>
      </c>
      <c r="E601" t="s">
        <v>28</v>
      </c>
      <c r="F601" t="s">
        <v>28</v>
      </c>
    </row>
    <row r="602" spans="1:6" x14ac:dyDescent="0.25">
      <c r="A602">
        <v>2018</v>
      </c>
      <c r="B602">
        <v>1040509</v>
      </c>
      <c r="C602">
        <v>507651</v>
      </c>
      <c r="D602">
        <v>532858</v>
      </c>
      <c r="E602" t="s">
        <v>29</v>
      </c>
      <c r="F602" t="s">
        <v>29</v>
      </c>
    </row>
    <row r="603" spans="1:6" x14ac:dyDescent="0.25">
      <c r="A603">
        <v>2018</v>
      </c>
      <c r="B603">
        <v>1052454</v>
      </c>
      <c r="C603">
        <v>553190</v>
      </c>
      <c r="D603">
        <v>499264</v>
      </c>
      <c r="E603" t="s">
        <v>32</v>
      </c>
      <c r="F603" t="s">
        <v>32</v>
      </c>
    </row>
    <row r="604" spans="1:6" x14ac:dyDescent="0.25">
      <c r="A604">
        <v>2018</v>
      </c>
      <c r="B604">
        <v>1114327</v>
      </c>
      <c r="C604">
        <v>552009</v>
      </c>
      <c r="D604">
        <v>562318</v>
      </c>
      <c r="E604" t="s">
        <v>33</v>
      </c>
      <c r="F604" t="s">
        <v>33</v>
      </c>
    </row>
    <row r="605" spans="1:6" x14ac:dyDescent="0.25">
      <c r="A605">
        <v>2018</v>
      </c>
      <c r="B605">
        <v>999843</v>
      </c>
      <c r="C605">
        <v>434855</v>
      </c>
      <c r="D605">
        <v>564988</v>
      </c>
      <c r="E605" t="s">
        <v>36</v>
      </c>
      <c r="F605" t="s">
        <v>36</v>
      </c>
    </row>
    <row r="606" spans="1:6" x14ac:dyDescent="0.25">
      <c r="A606">
        <v>2018</v>
      </c>
      <c r="B606">
        <v>1092094</v>
      </c>
      <c r="C606">
        <v>516161</v>
      </c>
      <c r="D606">
        <v>575933</v>
      </c>
      <c r="E606" t="s">
        <v>37</v>
      </c>
      <c r="F606" t="s">
        <v>37</v>
      </c>
    </row>
    <row r="607" spans="1:6" x14ac:dyDescent="0.25">
      <c r="A607">
        <v>2018</v>
      </c>
      <c r="B607">
        <v>1043167</v>
      </c>
      <c r="C607">
        <v>488227</v>
      </c>
      <c r="D607">
        <v>554940</v>
      </c>
      <c r="E607" t="s">
        <v>38</v>
      </c>
      <c r="F607" t="s">
        <v>38</v>
      </c>
    </row>
    <row r="608" spans="1:6" x14ac:dyDescent="0.25">
      <c r="A608">
        <v>2019</v>
      </c>
      <c r="B608">
        <v>1000509</v>
      </c>
      <c r="C608">
        <v>490586</v>
      </c>
      <c r="D608">
        <v>509923</v>
      </c>
      <c r="E608" t="s">
        <v>5</v>
      </c>
      <c r="F608" t="s">
        <v>5</v>
      </c>
    </row>
    <row r="609" spans="1:6" x14ac:dyDescent="0.25">
      <c r="A609">
        <v>2019</v>
      </c>
      <c r="B609">
        <v>1099463</v>
      </c>
      <c r="C609">
        <v>572811</v>
      </c>
      <c r="D609">
        <v>526652</v>
      </c>
      <c r="E609" t="s">
        <v>6</v>
      </c>
      <c r="F609" t="s">
        <v>6</v>
      </c>
    </row>
    <row r="610" spans="1:6" x14ac:dyDescent="0.25">
      <c r="A610">
        <v>2019</v>
      </c>
      <c r="B610">
        <v>1091363</v>
      </c>
      <c r="C610">
        <v>565020</v>
      </c>
      <c r="D610">
        <v>526343</v>
      </c>
      <c r="E610" t="s">
        <v>7</v>
      </c>
      <c r="F610" t="s">
        <v>7</v>
      </c>
    </row>
    <row r="611" spans="1:6" x14ac:dyDescent="0.25">
      <c r="A611">
        <v>2019</v>
      </c>
      <c r="B611">
        <v>1123350</v>
      </c>
      <c r="C611">
        <v>550713</v>
      </c>
      <c r="D611">
        <v>572637</v>
      </c>
      <c r="E611" t="s">
        <v>8</v>
      </c>
      <c r="F611" t="s">
        <v>8</v>
      </c>
    </row>
    <row r="612" spans="1:6" x14ac:dyDescent="0.25">
      <c r="A612">
        <v>2019</v>
      </c>
      <c r="B612">
        <v>1122333</v>
      </c>
      <c r="C612">
        <v>577765</v>
      </c>
      <c r="D612">
        <v>544568</v>
      </c>
      <c r="E612" t="s">
        <v>9</v>
      </c>
      <c r="F612" t="s">
        <v>9</v>
      </c>
    </row>
    <row r="613" spans="1:6" x14ac:dyDescent="0.25">
      <c r="A613">
        <v>2019</v>
      </c>
      <c r="B613">
        <v>1051152</v>
      </c>
      <c r="C613">
        <v>495332</v>
      </c>
      <c r="D613">
        <v>555820</v>
      </c>
      <c r="E613" t="s">
        <v>10</v>
      </c>
      <c r="F613" t="s">
        <v>10</v>
      </c>
    </row>
    <row r="614" spans="1:6" x14ac:dyDescent="0.25">
      <c r="A614">
        <v>2019</v>
      </c>
      <c r="B614">
        <v>907640</v>
      </c>
      <c r="C614">
        <v>377432</v>
      </c>
      <c r="D614">
        <v>530208</v>
      </c>
      <c r="E614" t="s">
        <v>11</v>
      </c>
      <c r="F614" t="s">
        <v>11</v>
      </c>
    </row>
    <row r="615" spans="1:6" x14ac:dyDescent="0.25">
      <c r="A615">
        <v>2019</v>
      </c>
      <c r="B615">
        <v>1075124</v>
      </c>
      <c r="C615">
        <v>539448</v>
      </c>
      <c r="D615">
        <v>535676</v>
      </c>
      <c r="E615" t="s">
        <v>12</v>
      </c>
      <c r="F615" t="s">
        <v>12</v>
      </c>
    </row>
    <row r="616" spans="1:6" x14ac:dyDescent="0.25">
      <c r="A616">
        <v>2019</v>
      </c>
      <c r="B616">
        <v>1289027</v>
      </c>
      <c r="C616">
        <v>727432</v>
      </c>
      <c r="D616">
        <v>561595</v>
      </c>
      <c r="E616" t="s">
        <v>13</v>
      </c>
      <c r="F616" t="s">
        <v>13</v>
      </c>
    </row>
    <row r="617" spans="1:6" x14ac:dyDescent="0.25">
      <c r="A617">
        <v>2019</v>
      </c>
      <c r="B617">
        <v>1104191</v>
      </c>
      <c r="C617">
        <v>607497</v>
      </c>
      <c r="D617">
        <v>496694</v>
      </c>
      <c r="E617" t="s">
        <v>14</v>
      </c>
      <c r="F617" t="s">
        <v>14</v>
      </c>
    </row>
    <row r="618" spans="1:6" x14ac:dyDescent="0.25">
      <c r="A618">
        <v>2019</v>
      </c>
      <c r="B618">
        <v>1011888</v>
      </c>
      <c r="C618">
        <v>490737</v>
      </c>
      <c r="D618">
        <v>521151</v>
      </c>
      <c r="E618" t="s">
        <v>15</v>
      </c>
      <c r="F618" t="s">
        <v>15</v>
      </c>
    </row>
    <row r="619" spans="1:6" x14ac:dyDescent="0.25">
      <c r="A619">
        <v>2019</v>
      </c>
      <c r="B619">
        <v>1154661</v>
      </c>
      <c r="C619">
        <v>622762</v>
      </c>
      <c r="D619">
        <v>531899</v>
      </c>
      <c r="E619" t="s">
        <v>16</v>
      </c>
      <c r="F619" t="s">
        <v>16</v>
      </c>
    </row>
    <row r="620" spans="1:6" x14ac:dyDescent="0.25">
      <c r="A620">
        <v>2019</v>
      </c>
      <c r="B620">
        <v>1075836</v>
      </c>
      <c r="C620">
        <v>574345</v>
      </c>
      <c r="D620">
        <v>501491</v>
      </c>
      <c r="E620" t="s">
        <v>39</v>
      </c>
      <c r="F620" t="s">
        <v>39</v>
      </c>
    </row>
    <row r="621" spans="1:6" x14ac:dyDescent="0.25">
      <c r="A621">
        <v>2019</v>
      </c>
      <c r="B621">
        <v>965049</v>
      </c>
      <c r="C621">
        <v>488886</v>
      </c>
      <c r="D621">
        <v>476163</v>
      </c>
      <c r="E621" t="s">
        <v>17</v>
      </c>
      <c r="F621" t="s">
        <v>17</v>
      </c>
    </row>
    <row r="622" spans="1:6" x14ac:dyDescent="0.25">
      <c r="A622">
        <v>2019</v>
      </c>
      <c r="B622">
        <v>1014675</v>
      </c>
      <c r="C622">
        <v>504686</v>
      </c>
      <c r="D622">
        <v>509989</v>
      </c>
      <c r="E622" t="s">
        <v>18</v>
      </c>
      <c r="F622" t="s">
        <v>18</v>
      </c>
    </row>
    <row r="623" spans="1:6" x14ac:dyDescent="0.25">
      <c r="A623">
        <v>2019</v>
      </c>
      <c r="B623">
        <v>1115771</v>
      </c>
      <c r="C623">
        <v>587723</v>
      </c>
      <c r="D623">
        <v>528048</v>
      </c>
      <c r="E623" t="s">
        <v>19</v>
      </c>
      <c r="F623" t="s">
        <v>19</v>
      </c>
    </row>
    <row r="624" spans="1:6" x14ac:dyDescent="0.25">
      <c r="A624">
        <v>2019</v>
      </c>
      <c r="B624">
        <v>760644</v>
      </c>
      <c r="C624">
        <v>254007</v>
      </c>
      <c r="D624">
        <v>506637</v>
      </c>
      <c r="E624" t="s">
        <v>31</v>
      </c>
      <c r="F624" t="s">
        <v>31</v>
      </c>
    </row>
    <row r="625" spans="1:6" x14ac:dyDescent="0.25">
      <c r="A625">
        <v>2019</v>
      </c>
      <c r="B625">
        <v>1147715</v>
      </c>
      <c r="C625">
        <v>582325</v>
      </c>
      <c r="D625">
        <v>565390</v>
      </c>
      <c r="E625" t="s">
        <v>35</v>
      </c>
      <c r="F625" t="s">
        <v>35</v>
      </c>
    </row>
    <row r="626" spans="1:6" x14ac:dyDescent="0.25">
      <c r="A626">
        <v>2019</v>
      </c>
      <c r="B626">
        <v>1067487</v>
      </c>
      <c r="C626">
        <v>504540</v>
      </c>
      <c r="D626">
        <v>562947</v>
      </c>
      <c r="E626" t="s">
        <v>20</v>
      </c>
      <c r="F626" t="s">
        <v>20</v>
      </c>
    </row>
    <row r="627" spans="1:6" x14ac:dyDescent="0.25">
      <c r="A627">
        <v>2019</v>
      </c>
      <c r="B627">
        <v>1070025</v>
      </c>
      <c r="C627">
        <v>534794</v>
      </c>
      <c r="D627">
        <v>535231</v>
      </c>
      <c r="E627" t="s">
        <v>21</v>
      </c>
      <c r="F627" t="s">
        <v>21</v>
      </c>
    </row>
    <row r="628" spans="1:6" x14ac:dyDescent="0.25">
      <c r="A628">
        <v>2019</v>
      </c>
      <c r="B628">
        <v>1087904</v>
      </c>
      <c r="C628">
        <v>527024</v>
      </c>
      <c r="D628">
        <v>560880</v>
      </c>
      <c r="E628" t="s">
        <v>22</v>
      </c>
      <c r="F628" t="s">
        <v>22</v>
      </c>
    </row>
    <row r="629" spans="1:6" x14ac:dyDescent="0.25">
      <c r="A629">
        <v>2019</v>
      </c>
      <c r="B629">
        <v>1117057</v>
      </c>
      <c r="C629">
        <v>584660</v>
      </c>
      <c r="D629">
        <v>532397</v>
      </c>
      <c r="E629" t="s">
        <v>23</v>
      </c>
      <c r="F629" t="s">
        <v>23</v>
      </c>
    </row>
    <row r="630" spans="1:6" x14ac:dyDescent="0.25">
      <c r="A630">
        <v>2019</v>
      </c>
      <c r="B630">
        <v>1143109</v>
      </c>
      <c r="C630">
        <v>597316</v>
      </c>
      <c r="D630">
        <v>545793</v>
      </c>
      <c r="E630" t="s">
        <v>24</v>
      </c>
      <c r="F630" t="s">
        <v>24</v>
      </c>
    </row>
    <row r="631" spans="1:6" x14ac:dyDescent="0.25">
      <c r="A631">
        <v>2019</v>
      </c>
      <c r="B631">
        <v>1116711</v>
      </c>
      <c r="C631">
        <v>628184</v>
      </c>
      <c r="D631">
        <v>488527</v>
      </c>
      <c r="E631" t="s">
        <v>25</v>
      </c>
      <c r="F631" t="s">
        <v>25</v>
      </c>
    </row>
    <row r="632" spans="1:6" x14ac:dyDescent="0.25">
      <c r="A632">
        <v>2019</v>
      </c>
      <c r="B632">
        <v>961146</v>
      </c>
      <c r="C632">
        <v>428311</v>
      </c>
      <c r="D632">
        <v>532835</v>
      </c>
      <c r="E632" t="s">
        <v>26</v>
      </c>
      <c r="F632" t="s">
        <v>27</v>
      </c>
    </row>
    <row r="633" spans="1:6" x14ac:dyDescent="0.25">
      <c r="A633">
        <v>2019</v>
      </c>
      <c r="B633">
        <v>1139525</v>
      </c>
      <c r="C633">
        <v>558268</v>
      </c>
      <c r="D633">
        <v>581257</v>
      </c>
      <c r="E633" t="s">
        <v>28</v>
      </c>
      <c r="F633" t="s">
        <v>28</v>
      </c>
    </row>
    <row r="634" spans="1:6" x14ac:dyDescent="0.25">
      <c r="A634">
        <v>2019</v>
      </c>
      <c r="B634">
        <v>986590</v>
      </c>
      <c r="C634">
        <v>497896</v>
      </c>
      <c r="D634">
        <v>488694</v>
      </c>
      <c r="E634" t="s">
        <v>29</v>
      </c>
      <c r="F634" t="s">
        <v>29</v>
      </c>
    </row>
    <row r="635" spans="1:6" x14ac:dyDescent="0.25">
      <c r="A635">
        <v>2019</v>
      </c>
      <c r="B635">
        <v>1080454</v>
      </c>
      <c r="C635">
        <v>562443</v>
      </c>
      <c r="D635">
        <v>518011</v>
      </c>
      <c r="E635" t="s">
        <v>32</v>
      </c>
      <c r="F635" t="s">
        <v>32</v>
      </c>
    </row>
    <row r="636" spans="1:6" x14ac:dyDescent="0.25">
      <c r="A636">
        <v>2019</v>
      </c>
      <c r="B636">
        <v>1101649</v>
      </c>
      <c r="C636">
        <v>551927</v>
      </c>
      <c r="D636">
        <v>549722</v>
      </c>
      <c r="E636" t="s">
        <v>33</v>
      </c>
      <c r="F636" t="s">
        <v>33</v>
      </c>
    </row>
    <row r="637" spans="1:6" x14ac:dyDescent="0.25">
      <c r="A637">
        <v>2019</v>
      </c>
      <c r="B637">
        <v>949068</v>
      </c>
      <c r="C637">
        <v>415189</v>
      </c>
      <c r="D637">
        <v>533879</v>
      </c>
      <c r="E637" t="s">
        <v>36</v>
      </c>
      <c r="F637" t="s">
        <v>36</v>
      </c>
    </row>
    <row r="638" spans="1:6" x14ac:dyDescent="0.25">
      <c r="A638">
        <v>2019</v>
      </c>
      <c r="B638">
        <v>1047496</v>
      </c>
      <c r="C638">
        <v>516074</v>
      </c>
      <c r="D638">
        <v>531422</v>
      </c>
      <c r="E638" t="s">
        <v>37</v>
      </c>
      <c r="F638" t="s">
        <v>37</v>
      </c>
    </row>
    <row r="639" spans="1:6" x14ac:dyDescent="0.25">
      <c r="A639">
        <v>2019</v>
      </c>
      <c r="B639">
        <v>1101466</v>
      </c>
      <c r="C639">
        <v>523906</v>
      </c>
      <c r="D639">
        <v>577560</v>
      </c>
      <c r="E639" t="s">
        <v>38</v>
      </c>
      <c r="F639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263D-A47F-4402-8CBB-52F5306B97C4}">
  <dimension ref="A1:K639"/>
  <sheetViews>
    <sheetView workbookViewId="0">
      <selection activeCell="B5" sqref="B5"/>
    </sheetView>
  </sheetViews>
  <sheetFormatPr defaultRowHeight="15" x14ac:dyDescent="0.25"/>
  <cols>
    <col min="1" max="1" width="7" customWidth="1"/>
    <col min="2" max="2" width="24.25" customWidth="1"/>
    <col min="3" max="3" width="7.375" customWidth="1"/>
    <col min="4" max="4" width="6.875" customWidth="1"/>
    <col min="5" max="5" width="12.375" customWidth="1"/>
    <col min="6" max="6" width="16.375" customWidth="1"/>
    <col min="7" max="7" width="15.5" customWidth="1"/>
    <col min="8" max="8" width="19.5" customWidth="1"/>
    <col min="9" max="9" width="19.875" customWidth="1"/>
    <col min="10" max="10" width="10.5" customWidth="1"/>
    <col min="11" max="11" width="12.375" customWidth="1"/>
  </cols>
  <sheetData>
    <row r="1" spans="1:11" x14ac:dyDescent="0.25">
      <c r="A1" t="s">
        <v>0</v>
      </c>
      <c r="B1" t="s">
        <v>4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</row>
    <row r="2" spans="1:11" x14ac:dyDescent="0.25">
      <c r="A2">
        <v>2000</v>
      </c>
      <c r="B2" t="s">
        <v>18</v>
      </c>
      <c r="C2">
        <v>7</v>
      </c>
      <c r="D2">
        <v>9</v>
      </c>
      <c r="E2">
        <v>367</v>
      </c>
      <c r="F2">
        <v>327</v>
      </c>
      <c r="G2">
        <v>1.1000000000000001</v>
      </c>
      <c r="H2">
        <v>3.2</v>
      </c>
      <c r="I2">
        <v>-2.1</v>
      </c>
      <c r="J2">
        <v>0</v>
      </c>
      <c r="K2">
        <v>0</v>
      </c>
    </row>
    <row r="3" spans="1:11" x14ac:dyDescent="0.25">
      <c r="A3">
        <v>2000</v>
      </c>
      <c r="B3" t="s">
        <v>19</v>
      </c>
      <c r="C3">
        <v>7</v>
      </c>
      <c r="D3">
        <v>9</v>
      </c>
      <c r="E3">
        <v>355</v>
      </c>
      <c r="F3">
        <v>354</v>
      </c>
      <c r="G3">
        <v>0.6</v>
      </c>
      <c r="H3">
        <v>0.1</v>
      </c>
      <c r="I3">
        <v>0.6</v>
      </c>
      <c r="J3">
        <v>0</v>
      </c>
      <c r="K3">
        <v>0</v>
      </c>
    </row>
    <row r="4" spans="1:11" x14ac:dyDescent="0.25">
      <c r="A4">
        <v>2000</v>
      </c>
      <c r="B4" t="s">
        <v>9</v>
      </c>
      <c r="C4">
        <v>7</v>
      </c>
      <c r="D4">
        <v>9</v>
      </c>
      <c r="E4">
        <v>310</v>
      </c>
      <c r="F4">
        <v>310</v>
      </c>
      <c r="G4">
        <v>-1.1000000000000001</v>
      </c>
      <c r="H4">
        <v>-3.6</v>
      </c>
      <c r="I4">
        <v>2.5</v>
      </c>
      <c r="J4">
        <v>0</v>
      </c>
      <c r="K4">
        <v>0</v>
      </c>
    </row>
    <row r="5" spans="1:11" x14ac:dyDescent="0.25">
      <c r="A5">
        <v>2001</v>
      </c>
      <c r="B5" t="s">
        <v>12</v>
      </c>
      <c r="C5">
        <v>7</v>
      </c>
      <c r="D5">
        <v>9</v>
      </c>
      <c r="E5">
        <v>285</v>
      </c>
      <c r="F5">
        <v>319</v>
      </c>
      <c r="G5">
        <v>-0.8</v>
      </c>
      <c r="H5">
        <v>-0.9</v>
      </c>
      <c r="I5">
        <v>0.1</v>
      </c>
      <c r="J5">
        <v>0</v>
      </c>
      <c r="K5">
        <v>0</v>
      </c>
    </row>
    <row r="6" spans="1:11" x14ac:dyDescent="0.25">
      <c r="A6">
        <v>2001</v>
      </c>
      <c r="B6" t="s">
        <v>37</v>
      </c>
      <c r="C6">
        <v>7</v>
      </c>
      <c r="D6">
        <v>9</v>
      </c>
      <c r="E6">
        <v>336</v>
      </c>
      <c r="F6">
        <v>388</v>
      </c>
      <c r="G6">
        <v>-2</v>
      </c>
      <c r="H6">
        <v>2.4</v>
      </c>
      <c r="I6">
        <v>-4.4000000000000004</v>
      </c>
      <c r="J6">
        <v>0</v>
      </c>
      <c r="K6">
        <v>0</v>
      </c>
    </row>
    <row r="7" spans="1:11" x14ac:dyDescent="0.25">
      <c r="A7">
        <v>2001</v>
      </c>
      <c r="B7" t="s">
        <v>24</v>
      </c>
      <c r="C7">
        <v>7</v>
      </c>
      <c r="D7">
        <v>9</v>
      </c>
      <c r="E7">
        <v>294</v>
      </c>
      <c r="F7">
        <v>321</v>
      </c>
      <c r="G7">
        <v>-1.8</v>
      </c>
      <c r="H7">
        <v>-1.8</v>
      </c>
      <c r="I7">
        <v>0</v>
      </c>
      <c r="J7">
        <v>0</v>
      </c>
      <c r="K7">
        <v>0</v>
      </c>
    </row>
    <row r="8" spans="1:11" x14ac:dyDescent="0.25">
      <c r="A8">
        <v>2001</v>
      </c>
      <c r="B8" t="s">
        <v>5</v>
      </c>
      <c r="C8">
        <v>7</v>
      </c>
      <c r="D8">
        <v>9</v>
      </c>
      <c r="E8">
        <v>295</v>
      </c>
      <c r="F8">
        <v>343</v>
      </c>
      <c r="G8">
        <v>-4.2</v>
      </c>
      <c r="H8">
        <v>-1.5</v>
      </c>
      <c r="I8">
        <v>-2.6</v>
      </c>
      <c r="J8">
        <v>0</v>
      </c>
      <c r="K8">
        <v>0</v>
      </c>
    </row>
    <row r="9" spans="1:11" x14ac:dyDescent="0.25">
      <c r="A9">
        <v>2001</v>
      </c>
      <c r="B9" t="s">
        <v>23</v>
      </c>
      <c r="C9">
        <v>7</v>
      </c>
      <c r="D9">
        <v>9</v>
      </c>
      <c r="E9">
        <v>333</v>
      </c>
      <c r="F9">
        <v>409</v>
      </c>
      <c r="G9">
        <v>-4.8</v>
      </c>
      <c r="H9">
        <v>-0.1</v>
      </c>
      <c r="I9">
        <v>-4.7</v>
      </c>
      <c r="J9">
        <v>0</v>
      </c>
      <c r="K9">
        <v>0</v>
      </c>
    </row>
    <row r="10" spans="1:11" x14ac:dyDescent="0.25">
      <c r="A10">
        <v>2001</v>
      </c>
      <c r="B10" t="s">
        <v>6</v>
      </c>
      <c r="C10">
        <v>7</v>
      </c>
      <c r="D10">
        <v>9</v>
      </c>
      <c r="E10">
        <v>291</v>
      </c>
      <c r="F10">
        <v>377</v>
      </c>
      <c r="G10">
        <v>-4.7</v>
      </c>
      <c r="H10">
        <v>-2.7</v>
      </c>
      <c r="I10">
        <v>-2</v>
      </c>
      <c r="J10">
        <v>0</v>
      </c>
      <c r="K10">
        <v>0</v>
      </c>
    </row>
    <row r="11" spans="1:11" x14ac:dyDescent="0.25">
      <c r="A11">
        <v>2002</v>
      </c>
      <c r="B11" t="s">
        <v>7</v>
      </c>
      <c r="C11">
        <v>7</v>
      </c>
      <c r="D11">
        <v>9</v>
      </c>
      <c r="E11">
        <v>316</v>
      </c>
      <c r="F11">
        <v>354</v>
      </c>
      <c r="G11">
        <v>-2.1</v>
      </c>
      <c r="H11">
        <v>-1.5</v>
      </c>
      <c r="I11">
        <v>-0.6</v>
      </c>
      <c r="J11">
        <v>0</v>
      </c>
      <c r="K11">
        <v>0</v>
      </c>
    </row>
    <row r="12" spans="1:11" x14ac:dyDescent="0.25">
      <c r="A12">
        <v>2002</v>
      </c>
      <c r="B12" t="s">
        <v>38</v>
      </c>
      <c r="C12">
        <v>7</v>
      </c>
      <c r="D12">
        <v>9</v>
      </c>
      <c r="E12">
        <v>307</v>
      </c>
      <c r="F12">
        <v>365</v>
      </c>
      <c r="G12">
        <v>-4.5</v>
      </c>
      <c r="H12">
        <v>-2.2000000000000002</v>
      </c>
      <c r="I12">
        <v>-2.2000000000000002</v>
      </c>
      <c r="J12">
        <v>0</v>
      </c>
      <c r="K12">
        <v>0</v>
      </c>
    </row>
    <row r="13" spans="1:11" x14ac:dyDescent="0.25">
      <c r="A13">
        <v>2002</v>
      </c>
      <c r="B13" t="s">
        <v>9</v>
      </c>
      <c r="C13">
        <v>7</v>
      </c>
      <c r="D13">
        <v>9</v>
      </c>
      <c r="E13">
        <v>258</v>
      </c>
      <c r="F13">
        <v>302</v>
      </c>
      <c r="G13">
        <v>-3.3</v>
      </c>
      <c r="H13">
        <v>-6</v>
      </c>
      <c r="I13">
        <v>2.8</v>
      </c>
      <c r="J13">
        <v>0</v>
      </c>
      <c r="K13">
        <v>0</v>
      </c>
    </row>
    <row r="14" spans="1:11" x14ac:dyDescent="0.25">
      <c r="A14">
        <v>2002</v>
      </c>
      <c r="B14" t="s">
        <v>35</v>
      </c>
      <c r="C14">
        <v>7</v>
      </c>
      <c r="D14">
        <v>9</v>
      </c>
      <c r="E14">
        <v>316</v>
      </c>
      <c r="F14">
        <v>369</v>
      </c>
      <c r="G14">
        <v>-3.3</v>
      </c>
      <c r="H14">
        <v>-1.6</v>
      </c>
      <c r="I14">
        <v>-1.8</v>
      </c>
      <c r="J14">
        <v>0</v>
      </c>
      <c r="K14">
        <v>0</v>
      </c>
    </row>
    <row r="15" spans="1:11" x14ac:dyDescent="0.25">
      <c r="A15">
        <v>2002</v>
      </c>
      <c r="B15" t="s">
        <v>33</v>
      </c>
      <c r="C15">
        <v>7</v>
      </c>
      <c r="D15">
        <v>9</v>
      </c>
      <c r="E15">
        <v>355</v>
      </c>
      <c r="F15">
        <v>369</v>
      </c>
      <c r="G15">
        <v>-1.3</v>
      </c>
      <c r="H15">
        <v>0</v>
      </c>
      <c r="I15">
        <v>-1.2</v>
      </c>
      <c r="J15">
        <v>0</v>
      </c>
      <c r="K15">
        <v>0</v>
      </c>
    </row>
    <row r="16" spans="1:11" x14ac:dyDescent="0.25">
      <c r="A16">
        <v>2003</v>
      </c>
      <c r="B16" t="s">
        <v>10</v>
      </c>
      <c r="C16">
        <v>7</v>
      </c>
      <c r="D16">
        <v>9</v>
      </c>
      <c r="E16">
        <v>283</v>
      </c>
      <c r="F16">
        <v>346</v>
      </c>
      <c r="G16">
        <v>-3.5</v>
      </c>
      <c r="H16">
        <v>-4.2</v>
      </c>
      <c r="I16">
        <v>0.7</v>
      </c>
      <c r="J16">
        <v>0</v>
      </c>
      <c r="K16">
        <v>0</v>
      </c>
    </row>
    <row r="17" spans="1:11" x14ac:dyDescent="0.25">
      <c r="A17">
        <v>2003</v>
      </c>
      <c r="B17" t="s">
        <v>36</v>
      </c>
      <c r="C17">
        <v>7</v>
      </c>
      <c r="D17">
        <v>9</v>
      </c>
      <c r="E17">
        <v>301</v>
      </c>
      <c r="F17">
        <v>264</v>
      </c>
      <c r="G17">
        <v>1.6</v>
      </c>
      <c r="H17">
        <v>-2.9</v>
      </c>
      <c r="I17">
        <v>4.5</v>
      </c>
      <c r="J17">
        <v>0</v>
      </c>
      <c r="K17">
        <v>0</v>
      </c>
    </row>
    <row r="18" spans="1:11" x14ac:dyDescent="0.25">
      <c r="A18">
        <v>2003</v>
      </c>
      <c r="B18" t="s">
        <v>32</v>
      </c>
      <c r="C18">
        <v>7</v>
      </c>
      <c r="D18">
        <v>9</v>
      </c>
      <c r="E18">
        <v>384</v>
      </c>
      <c r="F18">
        <v>337</v>
      </c>
      <c r="G18">
        <v>3.1</v>
      </c>
      <c r="H18">
        <v>3</v>
      </c>
      <c r="I18">
        <v>0.1</v>
      </c>
      <c r="J18">
        <v>0</v>
      </c>
      <c r="K18">
        <v>0</v>
      </c>
    </row>
    <row r="19" spans="1:11" x14ac:dyDescent="0.25">
      <c r="A19">
        <v>2004</v>
      </c>
      <c r="B19" t="s">
        <v>39</v>
      </c>
      <c r="C19">
        <v>7</v>
      </c>
      <c r="D19">
        <v>9</v>
      </c>
      <c r="E19">
        <v>309</v>
      </c>
      <c r="F19">
        <v>339</v>
      </c>
      <c r="G19">
        <v>-0.6</v>
      </c>
      <c r="H19">
        <v>-2.4</v>
      </c>
      <c r="I19">
        <v>1.8</v>
      </c>
      <c r="J19">
        <v>0</v>
      </c>
      <c r="K19">
        <v>0</v>
      </c>
    </row>
    <row r="20" spans="1:11" x14ac:dyDescent="0.25">
      <c r="A20">
        <v>2004</v>
      </c>
      <c r="B20" t="s">
        <v>19</v>
      </c>
      <c r="C20">
        <v>7</v>
      </c>
      <c r="D20">
        <v>9</v>
      </c>
      <c r="E20">
        <v>483</v>
      </c>
      <c r="F20">
        <v>435</v>
      </c>
      <c r="G20">
        <v>5.3</v>
      </c>
      <c r="H20">
        <v>10</v>
      </c>
      <c r="I20">
        <v>-4.7</v>
      </c>
      <c r="J20">
        <v>0</v>
      </c>
      <c r="K20">
        <v>0</v>
      </c>
    </row>
    <row r="21" spans="1:11" x14ac:dyDescent="0.25">
      <c r="A21">
        <v>2004</v>
      </c>
      <c r="B21" t="s">
        <v>9</v>
      </c>
      <c r="C21">
        <v>7</v>
      </c>
      <c r="D21">
        <v>9</v>
      </c>
      <c r="E21">
        <v>355</v>
      </c>
      <c r="F21">
        <v>339</v>
      </c>
      <c r="G21">
        <v>-0.7</v>
      </c>
      <c r="H21">
        <v>-0.8</v>
      </c>
      <c r="I21">
        <v>0.1</v>
      </c>
      <c r="J21">
        <v>0</v>
      </c>
      <c r="K21">
        <v>0</v>
      </c>
    </row>
    <row r="22" spans="1:11" x14ac:dyDescent="0.25">
      <c r="A22">
        <v>2006</v>
      </c>
      <c r="B22" t="s">
        <v>8</v>
      </c>
      <c r="C22">
        <v>7</v>
      </c>
      <c r="D22">
        <v>9</v>
      </c>
      <c r="E22">
        <v>300</v>
      </c>
      <c r="F22">
        <v>311</v>
      </c>
      <c r="G22">
        <v>2.2000000000000002</v>
      </c>
      <c r="H22">
        <v>-0.2</v>
      </c>
      <c r="I22">
        <v>2.4</v>
      </c>
      <c r="J22">
        <v>0</v>
      </c>
      <c r="K22">
        <v>0</v>
      </c>
    </row>
    <row r="23" spans="1:11" x14ac:dyDescent="0.25">
      <c r="A23">
        <v>2006</v>
      </c>
      <c r="B23" t="s">
        <v>6</v>
      </c>
      <c r="C23">
        <v>7</v>
      </c>
      <c r="D23">
        <v>9</v>
      </c>
      <c r="E23">
        <v>292</v>
      </c>
      <c r="F23">
        <v>328</v>
      </c>
      <c r="G23">
        <v>-3</v>
      </c>
      <c r="H23">
        <v>-2.8</v>
      </c>
      <c r="I23">
        <v>-0.2</v>
      </c>
      <c r="J23">
        <v>0</v>
      </c>
      <c r="K23">
        <v>0</v>
      </c>
    </row>
    <row r="24" spans="1:11" x14ac:dyDescent="0.25">
      <c r="A24">
        <v>2006</v>
      </c>
      <c r="B24" t="s">
        <v>32</v>
      </c>
      <c r="C24">
        <v>7</v>
      </c>
      <c r="D24">
        <v>9</v>
      </c>
      <c r="E24">
        <v>298</v>
      </c>
      <c r="F24">
        <v>412</v>
      </c>
      <c r="G24">
        <v>-8.6999999999999993</v>
      </c>
      <c r="H24">
        <v>-3.5</v>
      </c>
      <c r="I24">
        <v>-5.2</v>
      </c>
      <c r="J24">
        <v>0</v>
      </c>
      <c r="K24">
        <v>0</v>
      </c>
    </row>
    <row r="25" spans="1:11" x14ac:dyDescent="0.25">
      <c r="A25">
        <v>2007</v>
      </c>
      <c r="B25" t="s">
        <v>8</v>
      </c>
      <c r="C25">
        <v>7</v>
      </c>
      <c r="D25">
        <v>9</v>
      </c>
      <c r="E25">
        <v>252</v>
      </c>
      <c r="F25">
        <v>354</v>
      </c>
      <c r="G25">
        <v>-4.0999999999999996</v>
      </c>
      <c r="H25">
        <v>-5.6</v>
      </c>
      <c r="I25">
        <v>1.5</v>
      </c>
      <c r="J25">
        <v>0</v>
      </c>
      <c r="K25">
        <v>0</v>
      </c>
    </row>
    <row r="26" spans="1:11" x14ac:dyDescent="0.25">
      <c r="A26">
        <v>2007</v>
      </c>
      <c r="B26" t="s">
        <v>11</v>
      </c>
      <c r="C26">
        <v>7</v>
      </c>
      <c r="D26">
        <v>9</v>
      </c>
      <c r="E26">
        <v>380</v>
      </c>
      <c r="F26">
        <v>385</v>
      </c>
      <c r="G26">
        <v>-2.4</v>
      </c>
      <c r="H26">
        <v>1.6</v>
      </c>
      <c r="I26">
        <v>-4</v>
      </c>
      <c r="J26">
        <v>0</v>
      </c>
      <c r="K26">
        <v>0</v>
      </c>
    </row>
    <row r="27" spans="1:11" x14ac:dyDescent="0.25">
      <c r="A27">
        <v>2007</v>
      </c>
      <c r="B27" t="s">
        <v>14</v>
      </c>
      <c r="C27">
        <v>7</v>
      </c>
      <c r="D27">
        <v>9</v>
      </c>
      <c r="E27">
        <v>320</v>
      </c>
      <c r="F27">
        <v>409</v>
      </c>
      <c r="G27">
        <v>-3.9</v>
      </c>
      <c r="H27">
        <v>-0.2</v>
      </c>
      <c r="I27">
        <v>-3.8</v>
      </c>
      <c r="J27">
        <v>0</v>
      </c>
      <c r="K27">
        <v>0</v>
      </c>
    </row>
    <row r="28" spans="1:11" x14ac:dyDescent="0.25">
      <c r="A28">
        <v>2007</v>
      </c>
      <c r="B28" t="s">
        <v>15</v>
      </c>
      <c r="C28">
        <v>7</v>
      </c>
      <c r="D28">
        <v>9</v>
      </c>
      <c r="E28">
        <v>346</v>
      </c>
      <c r="F28">
        <v>444</v>
      </c>
      <c r="G28">
        <v>-3.6</v>
      </c>
      <c r="H28">
        <v>1.4</v>
      </c>
      <c r="I28">
        <v>-5</v>
      </c>
      <c r="J28">
        <v>0</v>
      </c>
      <c r="K28">
        <v>0</v>
      </c>
    </row>
    <row r="29" spans="1:11" x14ac:dyDescent="0.25">
      <c r="A29">
        <v>2007</v>
      </c>
      <c r="B29" t="s">
        <v>10</v>
      </c>
      <c r="C29">
        <v>7</v>
      </c>
      <c r="D29">
        <v>9</v>
      </c>
      <c r="E29">
        <v>334</v>
      </c>
      <c r="F29">
        <v>348</v>
      </c>
      <c r="G29">
        <v>1.2</v>
      </c>
      <c r="H29">
        <v>-0.2</v>
      </c>
      <c r="I29">
        <v>1.4</v>
      </c>
      <c r="J29">
        <v>0</v>
      </c>
      <c r="K29">
        <v>0</v>
      </c>
    </row>
    <row r="30" spans="1:11" x14ac:dyDescent="0.25">
      <c r="A30">
        <v>2007</v>
      </c>
      <c r="B30" t="s">
        <v>9</v>
      </c>
      <c r="C30">
        <v>7</v>
      </c>
      <c r="D30">
        <v>9</v>
      </c>
      <c r="E30">
        <v>267</v>
      </c>
      <c r="F30">
        <v>347</v>
      </c>
      <c r="G30">
        <v>-5.8</v>
      </c>
      <c r="H30">
        <v>-5.7</v>
      </c>
      <c r="I30">
        <v>-0.1</v>
      </c>
      <c r="J30">
        <v>0</v>
      </c>
      <c r="K30">
        <v>0</v>
      </c>
    </row>
    <row r="31" spans="1:11" x14ac:dyDescent="0.25">
      <c r="A31">
        <v>2007</v>
      </c>
      <c r="B31" t="s">
        <v>23</v>
      </c>
      <c r="C31">
        <v>7</v>
      </c>
      <c r="D31">
        <v>9</v>
      </c>
      <c r="E31">
        <v>379</v>
      </c>
      <c r="F31">
        <v>388</v>
      </c>
      <c r="G31">
        <v>-2.5</v>
      </c>
      <c r="H31">
        <v>1.9</v>
      </c>
      <c r="I31">
        <v>-4.5</v>
      </c>
      <c r="J31">
        <v>0</v>
      </c>
      <c r="K31">
        <v>0</v>
      </c>
    </row>
    <row r="32" spans="1:11" x14ac:dyDescent="0.25">
      <c r="A32">
        <v>2008</v>
      </c>
      <c r="B32" t="s">
        <v>8</v>
      </c>
      <c r="C32">
        <v>7</v>
      </c>
      <c r="D32">
        <v>9</v>
      </c>
      <c r="E32">
        <v>336</v>
      </c>
      <c r="F32">
        <v>342</v>
      </c>
      <c r="G32">
        <v>-3.3</v>
      </c>
      <c r="H32">
        <v>-2.8</v>
      </c>
      <c r="I32">
        <v>-0.6</v>
      </c>
      <c r="J32">
        <v>0</v>
      </c>
      <c r="K32">
        <v>0</v>
      </c>
    </row>
    <row r="33" spans="1:11" x14ac:dyDescent="0.25">
      <c r="A33">
        <v>2008</v>
      </c>
      <c r="B33" t="s">
        <v>32</v>
      </c>
      <c r="C33">
        <v>7</v>
      </c>
      <c r="D33">
        <v>9</v>
      </c>
      <c r="E33">
        <v>339</v>
      </c>
      <c r="F33">
        <v>381</v>
      </c>
      <c r="G33">
        <v>-5.3</v>
      </c>
      <c r="H33">
        <v>-2.9</v>
      </c>
      <c r="I33">
        <v>-2.4</v>
      </c>
      <c r="J33">
        <v>0</v>
      </c>
      <c r="K33">
        <v>0</v>
      </c>
    </row>
    <row r="34" spans="1:11" x14ac:dyDescent="0.25">
      <c r="A34">
        <v>2009</v>
      </c>
      <c r="B34" t="s">
        <v>20</v>
      </c>
      <c r="C34">
        <v>7</v>
      </c>
      <c r="D34">
        <v>9</v>
      </c>
      <c r="E34">
        <v>360</v>
      </c>
      <c r="F34">
        <v>390</v>
      </c>
      <c r="G34">
        <v>1.7</v>
      </c>
      <c r="H34">
        <v>2.9</v>
      </c>
      <c r="I34">
        <v>-1.2</v>
      </c>
      <c r="J34">
        <v>0</v>
      </c>
      <c r="K34">
        <v>0</v>
      </c>
    </row>
    <row r="35" spans="1:11" x14ac:dyDescent="0.25">
      <c r="A35">
        <v>2009</v>
      </c>
      <c r="B35" t="s">
        <v>18</v>
      </c>
      <c r="C35">
        <v>7</v>
      </c>
      <c r="D35">
        <v>9</v>
      </c>
      <c r="E35">
        <v>290</v>
      </c>
      <c r="F35">
        <v>380</v>
      </c>
      <c r="G35">
        <v>-6.5</v>
      </c>
      <c r="H35">
        <v>-3.8</v>
      </c>
      <c r="I35">
        <v>-2.6</v>
      </c>
      <c r="J35">
        <v>0</v>
      </c>
      <c r="K35">
        <v>0</v>
      </c>
    </row>
    <row r="36" spans="1:11" x14ac:dyDescent="0.25">
      <c r="A36">
        <v>2009</v>
      </c>
      <c r="B36" t="s">
        <v>10</v>
      </c>
      <c r="C36">
        <v>7</v>
      </c>
      <c r="D36">
        <v>9</v>
      </c>
      <c r="E36">
        <v>327</v>
      </c>
      <c r="F36">
        <v>375</v>
      </c>
      <c r="G36">
        <v>-3.9</v>
      </c>
      <c r="H36">
        <v>-1.9</v>
      </c>
      <c r="I36">
        <v>-2</v>
      </c>
      <c r="J36">
        <v>0</v>
      </c>
      <c r="K36">
        <v>0</v>
      </c>
    </row>
    <row r="37" spans="1:11" x14ac:dyDescent="0.25">
      <c r="A37">
        <v>2010</v>
      </c>
      <c r="B37" t="s">
        <v>20</v>
      </c>
      <c r="C37">
        <v>7</v>
      </c>
      <c r="D37">
        <v>9</v>
      </c>
      <c r="E37">
        <v>273</v>
      </c>
      <c r="F37">
        <v>333</v>
      </c>
      <c r="G37">
        <v>0.3</v>
      </c>
      <c r="H37">
        <v>-2.8</v>
      </c>
      <c r="I37">
        <v>3.1</v>
      </c>
      <c r="J37">
        <v>0</v>
      </c>
      <c r="K37">
        <v>0</v>
      </c>
    </row>
    <row r="38" spans="1:11" x14ac:dyDescent="0.25">
      <c r="A38">
        <v>2010</v>
      </c>
      <c r="B38" t="s">
        <v>35</v>
      </c>
      <c r="C38">
        <v>7</v>
      </c>
      <c r="D38">
        <v>9</v>
      </c>
      <c r="E38">
        <v>289</v>
      </c>
      <c r="F38">
        <v>328</v>
      </c>
      <c r="G38">
        <v>-6.7</v>
      </c>
      <c r="H38">
        <v>-6.3</v>
      </c>
      <c r="I38">
        <v>-0.4</v>
      </c>
      <c r="J38">
        <v>0</v>
      </c>
      <c r="K38">
        <v>0</v>
      </c>
    </row>
    <row r="39" spans="1:11" x14ac:dyDescent="0.25">
      <c r="A39">
        <v>2011</v>
      </c>
      <c r="B39" t="s">
        <v>19</v>
      </c>
      <c r="C39">
        <v>7</v>
      </c>
      <c r="D39">
        <v>9</v>
      </c>
      <c r="E39">
        <v>212</v>
      </c>
      <c r="F39">
        <v>338</v>
      </c>
      <c r="G39">
        <v>-8.1</v>
      </c>
      <c r="H39">
        <v>-10.199999999999999</v>
      </c>
      <c r="I39">
        <v>2.1</v>
      </c>
      <c r="J39">
        <v>0</v>
      </c>
      <c r="K39">
        <v>0</v>
      </c>
    </row>
    <row r="40" spans="1:11" x14ac:dyDescent="0.25">
      <c r="A40">
        <v>2011</v>
      </c>
      <c r="B40" t="s">
        <v>33</v>
      </c>
      <c r="C40">
        <v>7</v>
      </c>
      <c r="D40">
        <v>9</v>
      </c>
      <c r="E40">
        <v>321</v>
      </c>
      <c r="F40">
        <v>315</v>
      </c>
      <c r="G40">
        <v>0.8</v>
      </c>
      <c r="H40">
        <v>-0.5</v>
      </c>
      <c r="I40">
        <v>1.3</v>
      </c>
      <c r="J40">
        <v>0</v>
      </c>
      <c r="K40">
        <v>0</v>
      </c>
    </row>
    <row r="41" spans="1:11" x14ac:dyDescent="0.25">
      <c r="A41">
        <v>2012</v>
      </c>
      <c r="B41" t="s">
        <v>20</v>
      </c>
      <c r="C41">
        <v>7</v>
      </c>
      <c r="D41">
        <v>9</v>
      </c>
      <c r="E41">
        <v>288</v>
      </c>
      <c r="F41">
        <v>317</v>
      </c>
      <c r="G41">
        <v>-2.6</v>
      </c>
      <c r="H41">
        <v>-5.5</v>
      </c>
      <c r="I41">
        <v>2.9</v>
      </c>
      <c r="J41">
        <v>0</v>
      </c>
      <c r="K41">
        <v>0</v>
      </c>
    </row>
    <row r="42" spans="1:11" x14ac:dyDescent="0.25">
      <c r="A42">
        <v>2012</v>
      </c>
      <c r="B42" t="s">
        <v>31</v>
      </c>
      <c r="C42">
        <v>7</v>
      </c>
      <c r="D42">
        <v>9</v>
      </c>
      <c r="E42">
        <v>350</v>
      </c>
      <c r="F42">
        <v>350</v>
      </c>
      <c r="G42">
        <v>-2.2999999999999998</v>
      </c>
      <c r="H42">
        <v>-2</v>
      </c>
      <c r="I42">
        <v>-0.4</v>
      </c>
      <c r="J42">
        <v>0</v>
      </c>
      <c r="K42">
        <v>0</v>
      </c>
    </row>
    <row r="43" spans="1:11" x14ac:dyDescent="0.25">
      <c r="A43">
        <v>2012</v>
      </c>
      <c r="B43" t="s">
        <v>9</v>
      </c>
      <c r="C43">
        <v>7</v>
      </c>
      <c r="D43">
        <v>9</v>
      </c>
      <c r="E43">
        <v>357</v>
      </c>
      <c r="F43">
        <v>363</v>
      </c>
      <c r="G43">
        <v>0.8</v>
      </c>
      <c r="H43">
        <v>-0.5</v>
      </c>
      <c r="I43">
        <v>1.3</v>
      </c>
      <c r="J43">
        <v>0</v>
      </c>
      <c r="K43">
        <v>0</v>
      </c>
    </row>
    <row r="44" spans="1:11" x14ac:dyDescent="0.25">
      <c r="A44">
        <v>2012</v>
      </c>
      <c r="B44" t="s">
        <v>23</v>
      </c>
      <c r="C44">
        <v>7</v>
      </c>
      <c r="D44">
        <v>9</v>
      </c>
      <c r="E44">
        <v>461</v>
      </c>
      <c r="F44">
        <v>454</v>
      </c>
      <c r="G44">
        <v>1.4</v>
      </c>
      <c r="H44">
        <v>6.5</v>
      </c>
      <c r="I44">
        <v>-5.0999999999999996</v>
      </c>
      <c r="J44">
        <v>0</v>
      </c>
      <c r="K44">
        <v>0</v>
      </c>
    </row>
    <row r="45" spans="1:11" x14ac:dyDescent="0.25">
      <c r="A45">
        <v>2012</v>
      </c>
      <c r="B45" t="s">
        <v>36</v>
      </c>
      <c r="C45">
        <v>7</v>
      </c>
      <c r="D45">
        <v>9</v>
      </c>
      <c r="E45">
        <v>389</v>
      </c>
      <c r="F45">
        <v>394</v>
      </c>
      <c r="G45">
        <v>0</v>
      </c>
      <c r="H45">
        <v>1.3</v>
      </c>
      <c r="I45">
        <v>-1.3</v>
      </c>
      <c r="J45">
        <v>0</v>
      </c>
      <c r="K45">
        <v>0</v>
      </c>
    </row>
    <row r="46" spans="1:11" x14ac:dyDescent="0.25">
      <c r="A46">
        <v>2013</v>
      </c>
      <c r="B46" t="s">
        <v>37</v>
      </c>
      <c r="C46">
        <v>7</v>
      </c>
      <c r="D46">
        <v>9</v>
      </c>
      <c r="E46">
        <v>362</v>
      </c>
      <c r="F46">
        <v>381</v>
      </c>
      <c r="G46">
        <v>-0.8</v>
      </c>
      <c r="H46">
        <v>-0.2</v>
      </c>
      <c r="I46">
        <v>-0.6</v>
      </c>
      <c r="J46">
        <v>0</v>
      </c>
      <c r="K46">
        <v>0</v>
      </c>
    </row>
    <row r="47" spans="1:11" x14ac:dyDescent="0.25">
      <c r="A47">
        <v>2013</v>
      </c>
      <c r="B47" t="s">
        <v>24</v>
      </c>
      <c r="C47">
        <v>7</v>
      </c>
      <c r="D47">
        <v>9</v>
      </c>
      <c r="E47">
        <v>294</v>
      </c>
      <c r="F47">
        <v>383</v>
      </c>
      <c r="G47">
        <v>-5.4</v>
      </c>
      <c r="H47">
        <v>-6.2</v>
      </c>
      <c r="I47">
        <v>0.8</v>
      </c>
      <c r="J47">
        <v>0</v>
      </c>
      <c r="K47">
        <v>0</v>
      </c>
    </row>
    <row r="48" spans="1:11" x14ac:dyDescent="0.25">
      <c r="A48">
        <v>2013</v>
      </c>
      <c r="B48" t="s">
        <v>15</v>
      </c>
      <c r="C48">
        <v>7</v>
      </c>
      <c r="D48">
        <v>9</v>
      </c>
      <c r="E48">
        <v>395</v>
      </c>
      <c r="F48">
        <v>376</v>
      </c>
      <c r="G48">
        <v>-1.6</v>
      </c>
      <c r="H48">
        <v>-1.2</v>
      </c>
      <c r="I48">
        <v>-0.5</v>
      </c>
      <c r="J48">
        <v>0</v>
      </c>
      <c r="K48">
        <v>0</v>
      </c>
    </row>
    <row r="49" spans="1:11" x14ac:dyDescent="0.25">
      <c r="A49">
        <v>2013</v>
      </c>
      <c r="B49" t="s">
        <v>35</v>
      </c>
      <c r="C49">
        <v>7</v>
      </c>
      <c r="D49">
        <v>9</v>
      </c>
      <c r="E49">
        <v>348</v>
      </c>
      <c r="F49">
        <v>364</v>
      </c>
      <c r="G49">
        <v>2.2000000000000002</v>
      </c>
      <c r="H49">
        <v>0.4</v>
      </c>
      <c r="I49">
        <v>1.8</v>
      </c>
      <c r="J49">
        <v>0</v>
      </c>
      <c r="K49">
        <v>0</v>
      </c>
    </row>
    <row r="50" spans="1:11" x14ac:dyDescent="0.25">
      <c r="A50">
        <v>2014</v>
      </c>
      <c r="B50" t="s">
        <v>12</v>
      </c>
      <c r="C50">
        <v>7</v>
      </c>
      <c r="D50">
        <v>9</v>
      </c>
      <c r="E50">
        <v>299</v>
      </c>
      <c r="F50">
        <v>337</v>
      </c>
      <c r="G50">
        <v>-3.9</v>
      </c>
      <c r="H50">
        <v>-4.8</v>
      </c>
      <c r="I50">
        <v>0.9</v>
      </c>
      <c r="J50">
        <v>0</v>
      </c>
      <c r="K50">
        <v>0</v>
      </c>
    </row>
    <row r="51" spans="1:11" x14ac:dyDescent="0.25">
      <c r="A51">
        <v>2014</v>
      </c>
      <c r="B51" t="s">
        <v>21</v>
      </c>
      <c r="C51">
        <v>7</v>
      </c>
      <c r="D51">
        <v>9</v>
      </c>
      <c r="E51">
        <v>325</v>
      </c>
      <c r="F51">
        <v>343</v>
      </c>
      <c r="G51">
        <v>-1.7</v>
      </c>
      <c r="H51">
        <v>-2.8</v>
      </c>
      <c r="I51">
        <v>1.1000000000000001</v>
      </c>
      <c r="J51">
        <v>0</v>
      </c>
      <c r="K51">
        <v>0</v>
      </c>
    </row>
    <row r="52" spans="1:11" x14ac:dyDescent="0.25">
      <c r="A52">
        <v>2014</v>
      </c>
      <c r="B52" t="s">
        <v>23</v>
      </c>
      <c r="C52">
        <v>7</v>
      </c>
      <c r="D52">
        <v>9</v>
      </c>
      <c r="E52">
        <v>401</v>
      </c>
      <c r="F52">
        <v>424</v>
      </c>
      <c r="G52">
        <v>-2.9</v>
      </c>
      <c r="H52">
        <v>1.9</v>
      </c>
      <c r="I52">
        <v>-4.8</v>
      </c>
      <c r="J52">
        <v>0</v>
      </c>
      <c r="K52">
        <v>0</v>
      </c>
    </row>
    <row r="53" spans="1:11" x14ac:dyDescent="0.25">
      <c r="A53">
        <v>2015</v>
      </c>
      <c r="B53" t="s">
        <v>27</v>
      </c>
      <c r="C53">
        <v>7</v>
      </c>
      <c r="D53">
        <v>9</v>
      </c>
      <c r="E53">
        <v>359</v>
      </c>
      <c r="F53">
        <v>399</v>
      </c>
      <c r="G53">
        <v>-0.2</v>
      </c>
      <c r="H53">
        <v>1.4</v>
      </c>
      <c r="I53">
        <v>-1.6</v>
      </c>
      <c r="J53">
        <v>0</v>
      </c>
      <c r="K53">
        <v>0</v>
      </c>
    </row>
    <row r="54" spans="1:11" x14ac:dyDescent="0.25">
      <c r="A54">
        <v>2015</v>
      </c>
      <c r="B54" t="s">
        <v>28</v>
      </c>
      <c r="C54">
        <v>7</v>
      </c>
      <c r="D54">
        <v>9</v>
      </c>
      <c r="E54">
        <v>377</v>
      </c>
      <c r="F54">
        <v>430</v>
      </c>
      <c r="G54">
        <v>-4.5999999999999996</v>
      </c>
      <c r="H54">
        <v>-0.6</v>
      </c>
      <c r="I54">
        <v>-4</v>
      </c>
      <c r="J54">
        <v>0</v>
      </c>
      <c r="K54">
        <v>0</v>
      </c>
    </row>
    <row r="55" spans="1:11" x14ac:dyDescent="0.25">
      <c r="A55">
        <v>2015</v>
      </c>
      <c r="B55" t="s">
        <v>15</v>
      </c>
      <c r="C55">
        <v>7</v>
      </c>
      <c r="D55">
        <v>9</v>
      </c>
      <c r="E55">
        <v>358</v>
      </c>
      <c r="F55">
        <v>400</v>
      </c>
      <c r="G55">
        <v>-0.2</v>
      </c>
      <c r="H55">
        <v>1</v>
      </c>
      <c r="I55">
        <v>-1.3</v>
      </c>
      <c r="J55">
        <v>0</v>
      </c>
      <c r="K55">
        <v>0</v>
      </c>
    </row>
    <row r="56" spans="1:11" x14ac:dyDescent="0.25">
      <c r="A56">
        <v>2015</v>
      </c>
      <c r="B56" t="s">
        <v>23</v>
      </c>
      <c r="C56">
        <v>7</v>
      </c>
      <c r="D56">
        <v>9</v>
      </c>
      <c r="E56">
        <v>408</v>
      </c>
      <c r="F56">
        <v>476</v>
      </c>
      <c r="G56">
        <v>-6.6</v>
      </c>
      <c r="H56">
        <v>1.1000000000000001</v>
      </c>
      <c r="I56">
        <v>-7.6</v>
      </c>
      <c r="J56">
        <v>0</v>
      </c>
      <c r="K56">
        <v>0</v>
      </c>
    </row>
    <row r="57" spans="1:11" x14ac:dyDescent="0.25">
      <c r="A57">
        <v>2015</v>
      </c>
      <c r="B57" t="s">
        <v>35</v>
      </c>
      <c r="C57">
        <v>7</v>
      </c>
      <c r="D57">
        <v>9</v>
      </c>
      <c r="E57">
        <v>280</v>
      </c>
      <c r="F57">
        <v>330</v>
      </c>
      <c r="G57">
        <v>-0.2</v>
      </c>
      <c r="H57">
        <v>-3.8</v>
      </c>
      <c r="I57">
        <v>3.6</v>
      </c>
      <c r="J57">
        <v>0</v>
      </c>
      <c r="K57">
        <v>0</v>
      </c>
    </row>
    <row r="58" spans="1:11" x14ac:dyDescent="0.25">
      <c r="A58">
        <v>2016</v>
      </c>
      <c r="B58" t="s">
        <v>8</v>
      </c>
      <c r="C58">
        <v>7</v>
      </c>
      <c r="D58">
        <v>9</v>
      </c>
      <c r="E58">
        <v>399</v>
      </c>
      <c r="F58">
        <v>378</v>
      </c>
      <c r="G58">
        <v>-0.3</v>
      </c>
      <c r="H58">
        <v>1.8</v>
      </c>
      <c r="I58">
        <v>-2.2000000000000002</v>
      </c>
      <c r="J58">
        <v>0</v>
      </c>
      <c r="K58">
        <v>0</v>
      </c>
    </row>
    <row r="59" spans="1:11" x14ac:dyDescent="0.25">
      <c r="A59">
        <v>2016</v>
      </c>
      <c r="B59" t="s">
        <v>28</v>
      </c>
      <c r="C59">
        <v>7</v>
      </c>
      <c r="D59">
        <v>9</v>
      </c>
      <c r="E59">
        <v>367</v>
      </c>
      <c r="F59">
        <v>331</v>
      </c>
      <c r="G59">
        <v>3.8</v>
      </c>
      <c r="H59">
        <v>1.3</v>
      </c>
      <c r="I59">
        <v>2.5</v>
      </c>
      <c r="J59">
        <v>0</v>
      </c>
      <c r="K59">
        <v>0</v>
      </c>
    </row>
    <row r="60" spans="1:11" x14ac:dyDescent="0.25">
      <c r="A60">
        <v>2016</v>
      </c>
      <c r="B60" t="s">
        <v>23</v>
      </c>
      <c r="C60">
        <v>7</v>
      </c>
      <c r="D60">
        <v>9</v>
      </c>
      <c r="E60">
        <v>469</v>
      </c>
      <c r="F60">
        <v>454</v>
      </c>
      <c r="G60">
        <v>1.5</v>
      </c>
      <c r="H60">
        <v>6.8</v>
      </c>
      <c r="I60">
        <v>-5.3</v>
      </c>
      <c r="J60">
        <v>0</v>
      </c>
      <c r="K60">
        <v>0</v>
      </c>
    </row>
    <row r="61" spans="1:11" x14ac:dyDescent="0.25">
      <c r="A61">
        <v>2017</v>
      </c>
      <c r="B61" t="s">
        <v>11</v>
      </c>
      <c r="C61">
        <v>7</v>
      </c>
      <c r="D61">
        <v>9</v>
      </c>
      <c r="E61">
        <v>290</v>
      </c>
      <c r="F61">
        <v>349</v>
      </c>
      <c r="G61">
        <v>-5</v>
      </c>
      <c r="H61">
        <v>-4.0999999999999996</v>
      </c>
      <c r="I61">
        <v>-0.9</v>
      </c>
      <c r="J61">
        <v>0</v>
      </c>
      <c r="K61">
        <v>0</v>
      </c>
    </row>
    <row r="62" spans="1:11" x14ac:dyDescent="0.25">
      <c r="A62">
        <v>2017</v>
      </c>
      <c r="B62" t="s">
        <v>38</v>
      </c>
      <c r="C62">
        <v>7</v>
      </c>
      <c r="D62">
        <v>9</v>
      </c>
      <c r="E62">
        <v>342</v>
      </c>
      <c r="F62">
        <v>388</v>
      </c>
      <c r="G62">
        <v>-1.3</v>
      </c>
      <c r="H62">
        <v>0.5</v>
      </c>
      <c r="I62">
        <v>-1.8</v>
      </c>
      <c r="J62">
        <v>0</v>
      </c>
      <c r="K62">
        <v>0</v>
      </c>
    </row>
    <row r="63" spans="1:11" x14ac:dyDescent="0.25">
      <c r="A63">
        <v>2017</v>
      </c>
      <c r="B63" t="s">
        <v>16</v>
      </c>
      <c r="C63">
        <v>7</v>
      </c>
      <c r="D63">
        <v>9</v>
      </c>
      <c r="E63">
        <v>320</v>
      </c>
      <c r="F63">
        <v>384</v>
      </c>
      <c r="G63">
        <v>-1.9</v>
      </c>
      <c r="H63">
        <v>-0.3</v>
      </c>
      <c r="I63">
        <v>-1.6</v>
      </c>
      <c r="J63">
        <v>0</v>
      </c>
      <c r="K63">
        <v>0</v>
      </c>
    </row>
    <row r="64" spans="1:11" x14ac:dyDescent="0.25">
      <c r="A64">
        <v>2018</v>
      </c>
      <c r="B64" t="s">
        <v>20</v>
      </c>
      <c r="C64">
        <v>7</v>
      </c>
      <c r="D64">
        <v>9</v>
      </c>
      <c r="E64">
        <v>319</v>
      </c>
      <c r="F64">
        <v>433</v>
      </c>
      <c r="G64">
        <v>-8.8000000000000007</v>
      </c>
      <c r="H64">
        <v>-3.6</v>
      </c>
      <c r="I64">
        <v>-5.2</v>
      </c>
      <c r="J64">
        <v>0</v>
      </c>
      <c r="K64">
        <v>0</v>
      </c>
    </row>
    <row r="65" spans="1:11" x14ac:dyDescent="0.25">
      <c r="A65">
        <v>2018</v>
      </c>
      <c r="B65" t="s">
        <v>38</v>
      </c>
      <c r="C65">
        <v>7</v>
      </c>
      <c r="D65">
        <v>9</v>
      </c>
      <c r="E65">
        <v>281</v>
      </c>
      <c r="F65">
        <v>359</v>
      </c>
      <c r="G65">
        <v>-4.9000000000000004</v>
      </c>
      <c r="H65">
        <v>-5.6</v>
      </c>
      <c r="I65">
        <v>0.6</v>
      </c>
      <c r="J65">
        <v>0</v>
      </c>
      <c r="K65">
        <v>0</v>
      </c>
    </row>
    <row r="66" spans="1:11" x14ac:dyDescent="0.25">
      <c r="A66">
        <v>2018</v>
      </c>
      <c r="B66" t="s">
        <v>6</v>
      </c>
      <c r="C66">
        <v>7</v>
      </c>
      <c r="D66">
        <v>9</v>
      </c>
      <c r="E66">
        <v>414</v>
      </c>
      <c r="F66">
        <v>423</v>
      </c>
      <c r="G66">
        <v>-0.1</v>
      </c>
      <c r="H66">
        <v>2.5</v>
      </c>
      <c r="I66">
        <v>-2.6</v>
      </c>
      <c r="J66">
        <v>0</v>
      </c>
      <c r="K66">
        <v>0</v>
      </c>
    </row>
    <row r="67" spans="1:11" x14ac:dyDescent="0.25">
      <c r="A67">
        <v>2018</v>
      </c>
      <c r="B67" t="s">
        <v>9</v>
      </c>
      <c r="C67">
        <v>7</v>
      </c>
      <c r="D67">
        <v>9</v>
      </c>
      <c r="E67">
        <v>376</v>
      </c>
      <c r="F67">
        <v>382</v>
      </c>
      <c r="G67">
        <v>0.9</v>
      </c>
      <c r="H67">
        <v>0.1</v>
      </c>
      <c r="I67">
        <v>0.8</v>
      </c>
      <c r="J67">
        <v>0</v>
      </c>
      <c r="K67">
        <v>0</v>
      </c>
    </row>
    <row r="68" spans="1:11" x14ac:dyDescent="0.25">
      <c r="A68">
        <v>2019</v>
      </c>
      <c r="B68" t="s">
        <v>25</v>
      </c>
      <c r="C68">
        <v>7</v>
      </c>
      <c r="D68">
        <v>9</v>
      </c>
      <c r="E68">
        <v>276</v>
      </c>
      <c r="F68">
        <v>359</v>
      </c>
      <c r="G68">
        <v>-6.3</v>
      </c>
      <c r="H68">
        <v>-5.7</v>
      </c>
      <c r="I68">
        <v>-0.6</v>
      </c>
      <c r="J68">
        <v>0</v>
      </c>
      <c r="K68">
        <v>0</v>
      </c>
    </row>
    <row r="69" spans="1:11" x14ac:dyDescent="0.25">
      <c r="A69">
        <v>2019</v>
      </c>
      <c r="B69" t="s">
        <v>17</v>
      </c>
      <c r="C69">
        <v>7</v>
      </c>
      <c r="D69">
        <v>9</v>
      </c>
      <c r="E69">
        <v>361</v>
      </c>
      <c r="F69">
        <v>373</v>
      </c>
      <c r="G69">
        <v>-1.8</v>
      </c>
      <c r="H69">
        <v>-1</v>
      </c>
      <c r="I69">
        <v>-0.8</v>
      </c>
      <c r="J69">
        <v>0</v>
      </c>
      <c r="K69">
        <v>0</v>
      </c>
    </row>
    <row r="70" spans="1:11" x14ac:dyDescent="0.25">
      <c r="A70">
        <v>2019</v>
      </c>
      <c r="B70" t="s">
        <v>14</v>
      </c>
      <c r="C70">
        <v>7</v>
      </c>
      <c r="D70">
        <v>9</v>
      </c>
      <c r="E70">
        <v>282</v>
      </c>
      <c r="F70">
        <v>316</v>
      </c>
      <c r="G70">
        <v>-2.1</v>
      </c>
      <c r="H70">
        <v>-4.8</v>
      </c>
      <c r="I70">
        <v>2.7</v>
      </c>
      <c r="J70">
        <v>0</v>
      </c>
      <c r="K70">
        <v>0</v>
      </c>
    </row>
    <row r="71" spans="1:11" x14ac:dyDescent="0.25">
      <c r="A71">
        <v>2019</v>
      </c>
      <c r="B71" t="s">
        <v>27</v>
      </c>
      <c r="C71">
        <v>7</v>
      </c>
      <c r="D71">
        <v>9</v>
      </c>
      <c r="E71">
        <v>313</v>
      </c>
      <c r="F71">
        <v>419</v>
      </c>
      <c r="G71">
        <v>-6.9</v>
      </c>
      <c r="H71">
        <v>-2.5</v>
      </c>
      <c r="I71">
        <v>-4.4000000000000004</v>
      </c>
      <c r="J71">
        <v>0</v>
      </c>
      <c r="K71">
        <v>0</v>
      </c>
    </row>
    <row r="72" spans="1:11" x14ac:dyDescent="0.25">
      <c r="A72">
        <v>2019</v>
      </c>
      <c r="B72" t="s">
        <v>6</v>
      </c>
      <c r="C72">
        <v>7</v>
      </c>
      <c r="D72">
        <v>9</v>
      </c>
      <c r="E72">
        <v>381</v>
      </c>
      <c r="F72">
        <v>399</v>
      </c>
      <c r="G72">
        <v>-0.1</v>
      </c>
      <c r="H72">
        <v>0.3</v>
      </c>
      <c r="I72">
        <v>-0.4</v>
      </c>
      <c r="J72">
        <v>0</v>
      </c>
      <c r="K72">
        <v>0</v>
      </c>
    </row>
    <row r="73" spans="1:11" x14ac:dyDescent="0.25">
      <c r="A73">
        <v>2019</v>
      </c>
      <c r="B73" t="s">
        <v>36</v>
      </c>
      <c r="C73">
        <v>7</v>
      </c>
      <c r="D73">
        <v>9</v>
      </c>
      <c r="E73">
        <v>458</v>
      </c>
      <c r="F73">
        <v>449</v>
      </c>
      <c r="G73">
        <v>0.4</v>
      </c>
      <c r="H73">
        <v>4.9000000000000004</v>
      </c>
      <c r="I73">
        <v>-4.5</v>
      </c>
      <c r="J73">
        <v>0</v>
      </c>
      <c r="K73">
        <v>0</v>
      </c>
    </row>
    <row r="74" spans="1:11" x14ac:dyDescent="0.25">
      <c r="A74">
        <v>2012</v>
      </c>
      <c r="B74" t="s">
        <v>35</v>
      </c>
      <c r="C74">
        <v>7</v>
      </c>
      <c r="D74">
        <v>8</v>
      </c>
      <c r="E74">
        <v>299</v>
      </c>
      <c r="F74">
        <v>348</v>
      </c>
      <c r="G74">
        <v>0.4</v>
      </c>
      <c r="H74">
        <v>-2.1</v>
      </c>
      <c r="I74">
        <v>2.4</v>
      </c>
      <c r="J74">
        <v>0</v>
      </c>
      <c r="K74">
        <v>0</v>
      </c>
    </row>
    <row r="75" spans="1:11" x14ac:dyDescent="0.25">
      <c r="A75">
        <v>2016</v>
      </c>
      <c r="B75" t="s">
        <v>5</v>
      </c>
      <c r="C75">
        <v>7</v>
      </c>
      <c r="D75">
        <v>8</v>
      </c>
      <c r="E75">
        <v>418</v>
      </c>
      <c r="F75">
        <v>362</v>
      </c>
      <c r="G75">
        <v>1.6</v>
      </c>
      <c r="H75">
        <v>2.4</v>
      </c>
      <c r="I75">
        <v>-0.8</v>
      </c>
      <c r="J75">
        <v>0</v>
      </c>
      <c r="K75">
        <v>0</v>
      </c>
    </row>
    <row r="76" spans="1:11" x14ac:dyDescent="0.25">
      <c r="A76">
        <v>2018</v>
      </c>
      <c r="B76" t="s">
        <v>12</v>
      </c>
      <c r="C76">
        <v>7</v>
      </c>
      <c r="D76">
        <v>8</v>
      </c>
      <c r="E76">
        <v>359</v>
      </c>
      <c r="F76">
        <v>392</v>
      </c>
      <c r="G76">
        <v>-0.3</v>
      </c>
      <c r="H76">
        <v>-1</v>
      </c>
      <c r="I76">
        <v>0.6</v>
      </c>
      <c r="J76">
        <v>0</v>
      </c>
      <c r="K76">
        <v>0</v>
      </c>
    </row>
    <row r="77" spans="1:11" x14ac:dyDescent="0.25">
      <c r="A77">
        <v>2000</v>
      </c>
      <c r="B77" t="s">
        <v>25</v>
      </c>
      <c r="C77">
        <v>9</v>
      </c>
      <c r="D77">
        <v>7</v>
      </c>
      <c r="E77">
        <v>321</v>
      </c>
      <c r="F77">
        <v>321</v>
      </c>
      <c r="G77">
        <v>3.5</v>
      </c>
      <c r="H77">
        <v>1.4</v>
      </c>
      <c r="I77">
        <v>2.2000000000000002</v>
      </c>
      <c r="J77">
        <v>0</v>
      </c>
      <c r="K77">
        <v>0</v>
      </c>
    </row>
    <row r="78" spans="1:11" x14ac:dyDescent="0.25">
      <c r="A78">
        <v>2000</v>
      </c>
      <c r="B78" t="s">
        <v>8</v>
      </c>
      <c r="C78">
        <v>8</v>
      </c>
      <c r="D78">
        <v>8</v>
      </c>
      <c r="E78">
        <v>315</v>
      </c>
      <c r="F78">
        <v>350</v>
      </c>
      <c r="G78">
        <v>0</v>
      </c>
      <c r="H78">
        <v>0.5</v>
      </c>
      <c r="I78">
        <v>-0.5</v>
      </c>
      <c r="J78">
        <v>0</v>
      </c>
      <c r="K78">
        <v>0</v>
      </c>
    </row>
    <row r="79" spans="1:11" x14ac:dyDescent="0.25">
      <c r="A79">
        <v>2000</v>
      </c>
      <c r="B79" t="s">
        <v>22</v>
      </c>
      <c r="C79">
        <v>5</v>
      </c>
      <c r="D79">
        <v>11</v>
      </c>
      <c r="E79">
        <v>276</v>
      </c>
      <c r="F79">
        <v>338</v>
      </c>
      <c r="G79">
        <v>-2.5</v>
      </c>
      <c r="H79">
        <v>-2.7</v>
      </c>
      <c r="I79">
        <v>0.2</v>
      </c>
      <c r="J79">
        <v>0</v>
      </c>
      <c r="K79">
        <v>0</v>
      </c>
    </row>
    <row r="80" spans="1:11" x14ac:dyDescent="0.25">
      <c r="A80">
        <v>2000</v>
      </c>
      <c r="B80" t="s">
        <v>29</v>
      </c>
      <c r="C80">
        <v>9</v>
      </c>
      <c r="D80">
        <v>7</v>
      </c>
      <c r="E80">
        <v>321</v>
      </c>
      <c r="F80">
        <v>255</v>
      </c>
      <c r="G80">
        <v>3.9</v>
      </c>
      <c r="H80">
        <v>0.6</v>
      </c>
      <c r="I80">
        <v>3.3</v>
      </c>
      <c r="J80">
        <v>0</v>
      </c>
      <c r="K80">
        <v>0</v>
      </c>
    </row>
    <row r="81" spans="1:11" x14ac:dyDescent="0.25">
      <c r="A81">
        <v>2000</v>
      </c>
      <c r="B81" t="s">
        <v>11</v>
      </c>
      <c r="C81">
        <v>4</v>
      </c>
      <c r="D81">
        <v>12</v>
      </c>
      <c r="E81">
        <v>185</v>
      </c>
      <c r="F81">
        <v>359</v>
      </c>
      <c r="G81">
        <v>-10.5</v>
      </c>
      <c r="H81">
        <v>-8.1</v>
      </c>
      <c r="I81">
        <v>-2.4</v>
      </c>
      <c r="J81">
        <v>0</v>
      </c>
      <c r="K81">
        <v>0</v>
      </c>
    </row>
    <row r="82" spans="1:11" x14ac:dyDescent="0.25">
      <c r="A82">
        <v>2000</v>
      </c>
      <c r="B82" t="s">
        <v>12</v>
      </c>
      <c r="C82">
        <v>3</v>
      </c>
      <c r="D82">
        <v>13</v>
      </c>
      <c r="E82">
        <v>161</v>
      </c>
      <c r="F82">
        <v>419</v>
      </c>
      <c r="G82">
        <v>-14.6</v>
      </c>
      <c r="H82">
        <v>-9.1</v>
      </c>
      <c r="I82">
        <v>-5.5</v>
      </c>
      <c r="J82">
        <v>0</v>
      </c>
      <c r="K82">
        <v>0</v>
      </c>
    </row>
    <row r="83" spans="1:11" x14ac:dyDescent="0.25">
      <c r="A83">
        <v>2000</v>
      </c>
      <c r="B83" t="s">
        <v>33</v>
      </c>
      <c r="C83">
        <v>6</v>
      </c>
      <c r="D83">
        <v>10</v>
      </c>
      <c r="E83">
        <v>320</v>
      </c>
      <c r="F83">
        <v>405</v>
      </c>
      <c r="G83">
        <v>-3.7</v>
      </c>
      <c r="H83">
        <v>-1.4</v>
      </c>
      <c r="I83">
        <v>-2.2999999999999998</v>
      </c>
      <c r="J83">
        <v>0</v>
      </c>
      <c r="K83">
        <v>0</v>
      </c>
    </row>
    <row r="84" spans="1:11" x14ac:dyDescent="0.25">
      <c r="A84">
        <v>2000</v>
      </c>
      <c r="B84" t="s">
        <v>31</v>
      </c>
      <c r="C84">
        <v>1</v>
      </c>
      <c r="D84">
        <v>15</v>
      </c>
      <c r="E84">
        <v>269</v>
      </c>
      <c r="F84">
        <v>440</v>
      </c>
      <c r="G84">
        <v>-8.1</v>
      </c>
      <c r="H84">
        <v>-3.7</v>
      </c>
      <c r="I84">
        <v>-4.4000000000000004</v>
      </c>
      <c r="J84">
        <v>0</v>
      </c>
      <c r="K84">
        <v>0</v>
      </c>
    </row>
    <row r="85" spans="1:11" x14ac:dyDescent="0.25">
      <c r="A85">
        <v>2000</v>
      </c>
      <c r="B85" t="s">
        <v>38</v>
      </c>
      <c r="C85">
        <v>8</v>
      </c>
      <c r="D85">
        <v>8</v>
      </c>
      <c r="E85">
        <v>281</v>
      </c>
      <c r="F85">
        <v>269</v>
      </c>
      <c r="G85">
        <v>1</v>
      </c>
      <c r="H85">
        <v>-2.9</v>
      </c>
      <c r="I85">
        <v>3.8</v>
      </c>
      <c r="J85">
        <v>0</v>
      </c>
      <c r="K85">
        <v>0</v>
      </c>
    </row>
    <row r="86" spans="1:11" x14ac:dyDescent="0.25">
      <c r="A86">
        <v>2000</v>
      </c>
      <c r="B86" t="s">
        <v>13</v>
      </c>
      <c r="C86">
        <v>5</v>
      </c>
      <c r="D86">
        <v>11</v>
      </c>
      <c r="E86">
        <v>294</v>
      </c>
      <c r="F86">
        <v>361</v>
      </c>
      <c r="G86">
        <v>-4.5999999999999996</v>
      </c>
      <c r="H86">
        <v>-1.5</v>
      </c>
      <c r="I86">
        <v>-3</v>
      </c>
      <c r="J86">
        <v>0</v>
      </c>
      <c r="K86">
        <v>0</v>
      </c>
    </row>
    <row r="87" spans="1:11" x14ac:dyDescent="0.25">
      <c r="A87">
        <v>2000</v>
      </c>
      <c r="B87" t="s">
        <v>5</v>
      </c>
      <c r="C87">
        <v>3</v>
      </c>
      <c r="D87">
        <v>13</v>
      </c>
      <c r="E87">
        <v>210</v>
      </c>
      <c r="F87">
        <v>443</v>
      </c>
      <c r="G87">
        <v>-15.2</v>
      </c>
      <c r="H87">
        <v>-7.2</v>
      </c>
      <c r="I87">
        <v>-8.1</v>
      </c>
      <c r="J87">
        <v>0</v>
      </c>
      <c r="K87">
        <v>0</v>
      </c>
    </row>
    <row r="88" spans="1:11" x14ac:dyDescent="0.25">
      <c r="A88">
        <v>2000</v>
      </c>
      <c r="B88" t="s">
        <v>16</v>
      </c>
      <c r="C88">
        <v>9</v>
      </c>
      <c r="D88">
        <v>7</v>
      </c>
      <c r="E88">
        <v>353</v>
      </c>
      <c r="F88">
        <v>323</v>
      </c>
      <c r="G88">
        <v>2.5</v>
      </c>
      <c r="H88">
        <v>1.8</v>
      </c>
      <c r="I88">
        <v>0.7</v>
      </c>
      <c r="J88">
        <v>0</v>
      </c>
      <c r="K88">
        <v>0</v>
      </c>
    </row>
    <row r="89" spans="1:11" x14ac:dyDescent="0.25">
      <c r="A89">
        <v>2000</v>
      </c>
      <c r="B89" t="s">
        <v>15</v>
      </c>
      <c r="C89">
        <v>9</v>
      </c>
      <c r="D89">
        <v>7</v>
      </c>
      <c r="E89">
        <v>307</v>
      </c>
      <c r="F89">
        <v>307</v>
      </c>
      <c r="G89">
        <v>1.4</v>
      </c>
      <c r="H89">
        <v>-0.1</v>
      </c>
      <c r="I89">
        <v>1.5</v>
      </c>
      <c r="J89">
        <v>0</v>
      </c>
      <c r="K89">
        <v>0</v>
      </c>
    </row>
    <row r="90" spans="1:11" x14ac:dyDescent="0.25">
      <c r="A90">
        <v>2000</v>
      </c>
      <c r="B90" t="s">
        <v>10</v>
      </c>
      <c r="C90">
        <v>5</v>
      </c>
      <c r="D90">
        <v>11</v>
      </c>
      <c r="E90">
        <v>216</v>
      </c>
      <c r="F90">
        <v>355</v>
      </c>
      <c r="G90">
        <v>-6.3</v>
      </c>
      <c r="H90">
        <v>-6.4</v>
      </c>
      <c r="I90">
        <v>0.1</v>
      </c>
      <c r="J90">
        <v>0</v>
      </c>
      <c r="K90">
        <v>0</v>
      </c>
    </row>
    <row r="91" spans="1:11" x14ac:dyDescent="0.25">
      <c r="A91">
        <v>2000</v>
      </c>
      <c r="B91" t="s">
        <v>32</v>
      </c>
      <c r="C91">
        <v>6</v>
      </c>
      <c r="D91">
        <v>10</v>
      </c>
      <c r="E91">
        <v>388</v>
      </c>
      <c r="F91">
        <v>422</v>
      </c>
      <c r="G91">
        <v>-3.8</v>
      </c>
      <c r="H91">
        <v>1.7</v>
      </c>
      <c r="I91">
        <v>-5.5</v>
      </c>
      <c r="J91">
        <v>0</v>
      </c>
      <c r="K91">
        <v>0</v>
      </c>
    </row>
    <row r="92" spans="1:11" x14ac:dyDescent="0.25">
      <c r="A92">
        <v>2000</v>
      </c>
      <c r="B92" t="s">
        <v>6</v>
      </c>
      <c r="C92">
        <v>4</v>
      </c>
      <c r="D92">
        <v>12</v>
      </c>
      <c r="E92">
        <v>252</v>
      </c>
      <c r="F92">
        <v>413</v>
      </c>
      <c r="G92">
        <v>-8.6</v>
      </c>
      <c r="H92">
        <v>-5.7</v>
      </c>
      <c r="I92">
        <v>-2.9</v>
      </c>
      <c r="J92">
        <v>0</v>
      </c>
      <c r="K92">
        <v>0</v>
      </c>
    </row>
    <row r="93" spans="1:11" x14ac:dyDescent="0.25">
      <c r="A93">
        <v>2001</v>
      </c>
      <c r="B93" t="s">
        <v>17</v>
      </c>
      <c r="C93">
        <v>6</v>
      </c>
      <c r="D93">
        <v>10</v>
      </c>
      <c r="E93">
        <v>413</v>
      </c>
      <c r="F93">
        <v>486</v>
      </c>
      <c r="G93">
        <v>-3.8</v>
      </c>
      <c r="H93">
        <v>6.1</v>
      </c>
      <c r="I93">
        <v>-9.8000000000000007</v>
      </c>
      <c r="J93">
        <v>0</v>
      </c>
      <c r="K93">
        <v>0</v>
      </c>
    </row>
    <row r="94" spans="1:11" x14ac:dyDescent="0.25">
      <c r="A94">
        <v>2001</v>
      </c>
      <c r="B94" t="s">
        <v>8</v>
      </c>
      <c r="C94">
        <v>3</v>
      </c>
      <c r="D94">
        <v>13</v>
      </c>
      <c r="E94">
        <v>265</v>
      </c>
      <c r="F94">
        <v>420</v>
      </c>
      <c r="G94">
        <v>-9.5</v>
      </c>
      <c r="H94">
        <v>-3.9</v>
      </c>
      <c r="I94">
        <v>-5.7</v>
      </c>
      <c r="J94">
        <v>0</v>
      </c>
      <c r="K94">
        <v>0</v>
      </c>
    </row>
    <row r="95" spans="1:11" x14ac:dyDescent="0.25">
      <c r="A95">
        <v>2001</v>
      </c>
      <c r="B95" t="s">
        <v>18</v>
      </c>
      <c r="C95">
        <v>6</v>
      </c>
      <c r="D95">
        <v>10</v>
      </c>
      <c r="E95">
        <v>294</v>
      </c>
      <c r="F95">
        <v>286</v>
      </c>
      <c r="G95">
        <v>0.9</v>
      </c>
      <c r="H95">
        <v>-1.1000000000000001</v>
      </c>
      <c r="I95">
        <v>2</v>
      </c>
      <c r="J95">
        <v>0</v>
      </c>
      <c r="K95">
        <v>0</v>
      </c>
    </row>
    <row r="96" spans="1:11" x14ac:dyDescent="0.25">
      <c r="A96">
        <v>2001</v>
      </c>
      <c r="B96" t="s">
        <v>11</v>
      </c>
      <c r="C96">
        <v>6</v>
      </c>
      <c r="D96">
        <v>10</v>
      </c>
      <c r="E96">
        <v>226</v>
      </c>
      <c r="F96">
        <v>309</v>
      </c>
      <c r="G96">
        <v>-3.5</v>
      </c>
      <c r="H96">
        <v>-4.5</v>
      </c>
      <c r="I96">
        <v>1</v>
      </c>
      <c r="J96">
        <v>0</v>
      </c>
      <c r="K96">
        <v>0</v>
      </c>
    </row>
    <row r="97" spans="1:11" x14ac:dyDescent="0.25">
      <c r="A97">
        <v>2001</v>
      </c>
      <c r="B97" t="s">
        <v>33</v>
      </c>
      <c r="C97">
        <v>9</v>
      </c>
      <c r="D97">
        <v>7</v>
      </c>
      <c r="E97">
        <v>301</v>
      </c>
      <c r="F97">
        <v>324</v>
      </c>
      <c r="G97">
        <v>-1.9</v>
      </c>
      <c r="H97">
        <v>-1.4</v>
      </c>
      <c r="I97">
        <v>-0.4</v>
      </c>
      <c r="J97">
        <v>0</v>
      </c>
      <c r="K97">
        <v>0</v>
      </c>
    </row>
    <row r="98" spans="1:11" x14ac:dyDescent="0.25">
      <c r="A98">
        <v>2001</v>
      </c>
      <c r="B98" t="s">
        <v>14</v>
      </c>
      <c r="C98">
        <v>8</v>
      </c>
      <c r="D98">
        <v>8</v>
      </c>
      <c r="E98">
        <v>340</v>
      </c>
      <c r="F98">
        <v>339</v>
      </c>
      <c r="G98">
        <v>-0.5</v>
      </c>
      <c r="H98">
        <v>0.5</v>
      </c>
      <c r="I98">
        <v>-1</v>
      </c>
      <c r="J98">
        <v>0</v>
      </c>
      <c r="K98">
        <v>0</v>
      </c>
    </row>
    <row r="99" spans="1:11" x14ac:dyDescent="0.25">
      <c r="A99">
        <v>2001</v>
      </c>
      <c r="B99" t="s">
        <v>19</v>
      </c>
      <c r="C99">
        <v>6</v>
      </c>
      <c r="D99">
        <v>10</v>
      </c>
      <c r="E99">
        <v>320</v>
      </c>
      <c r="F99">
        <v>344</v>
      </c>
      <c r="G99">
        <v>-1.2</v>
      </c>
      <c r="H99">
        <v>-0.2</v>
      </c>
      <c r="I99">
        <v>-1</v>
      </c>
      <c r="J99">
        <v>0</v>
      </c>
      <c r="K99">
        <v>0</v>
      </c>
    </row>
    <row r="100" spans="1:11" x14ac:dyDescent="0.25">
      <c r="A100">
        <v>2001</v>
      </c>
      <c r="B100" t="s">
        <v>31</v>
      </c>
      <c r="C100">
        <v>5</v>
      </c>
      <c r="D100">
        <v>11</v>
      </c>
      <c r="E100">
        <v>332</v>
      </c>
      <c r="F100">
        <v>321</v>
      </c>
      <c r="G100">
        <v>-0.3</v>
      </c>
      <c r="H100">
        <v>0.3</v>
      </c>
      <c r="I100">
        <v>-0.6</v>
      </c>
      <c r="J100">
        <v>0</v>
      </c>
      <c r="K100">
        <v>0</v>
      </c>
    </row>
    <row r="101" spans="1:11" x14ac:dyDescent="0.25">
      <c r="A101">
        <v>2001</v>
      </c>
      <c r="B101" t="s">
        <v>38</v>
      </c>
      <c r="C101">
        <v>8</v>
      </c>
      <c r="D101">
        <v>8</v>
      </c>
      <c r="E101">
        <v>256</v>
      </c>
      <c r="F101">
        <v>303</v>
      </c>
      <c r="G101">
        <v>-3.7</v>
      </c>
      <c r="H101">
        <v>-4</v>
      </c>
      <c r="I101">
        <v>0.4</v>
      </c>
      <c r="J101">
        <v>0</v>
      </c>
      <c r="K101">
        <v>0</v>
      </c>
    </row>
    <row r="102" spans="1:11" x14ac:dyDescent="0.25">
      <c r="A102">
        <v>2001</v>
      </c>
      <c r="B102" t="s">
        <v>13</v>
      </c>
      <c r="C102">
        <v>5</v>
      </c>
      <c r="D102">
        <v>11</v>
      </c>
      <c r="E102">
        <v>246</v>
      </c>
      <c r="F102">
        <v>338</v>
      </c>
      <c r="G102">
        <v>-6</v>
      </c>
      <c r="H102">
        <v>-4.5</v>
      </c>
      <c r="I102">
        <v>-1.5</v>
      </c>
      <c r="J102">
        <v>0</v>
      </c>
      <c r="K102">
        <v>0</v>
      </c>
    </row>
    <row r="103" spans="1:11" x14ac:dyDescent="0.25">
      <c r="A103">
        <v>2001</v>
      </c>
      <c r="B103" t="s">
        <v>21</v>
      </c>
      <c r="C103">
        <v>5</v>
      </c>
      <c r="D103">
        <v>11</v>
      </c>
      <c r="E103">
        <v>290</v>
      </c>
      <c r="F103">
        <v>390</v>
      </c>
      <c r="G103">
        <v>-4.7</v>
      </c>
      <c r="H103">
        <v>-0.8</v>
      </c>
      <c r="I103">
        <v>-3.9</v>
      </c>
      <c r="J103">
        <v>0</v>
      </c>
      <c r="K103">
        <v>0</v>
      </c>
    </row>
    <row r="104" spans="1:11" x14ac:dyDescent="0.25">
      <c r="A104">
        <v>2001</v>
      </c>
      <c r="B104" t="s">
        <v>15</v>
      </c>
      <c r="C104">
        <v>2</v>
      </c>
      <c r="D104">
        <v>14</v>
      </c>
      <c r="E104">
        <v>270</v>
      </c>
      <c r="F104">
        <v>424</v>
      </c>
      <c r="G104">
        <v>-7.2</v>
      </c>
      <c r="H104">
        <v>-2</v>
      </c>
      <c r="I104">
        <v>-5.2</v>
      </c>
      <c r="J104">
        <v>0</v>
      </c>
      <c r="K104">
        <v>0</v>
      </c>
    </row>
    <row r="105" spans="1:11" x14ac:dyDescent="0.25">
      <c r="A105">
        <v>2001</v>
      </c>
      <c r="B105" t="s">
        <v>9</v>
      </c>
      <c r="C105">
        <v>1</v>
      </c>
      <c r="D105">
        <v>15</v>
      </c>
      <c r="E105">
        <v>253</v>
      </c>
      <c r="F105">
        <v>410</v>
      </c>
      <c r="G105">
        <v>-8.9</v>
      </c>
      <c r="H105">
        <v>-4.5999999999999996</v>
      </c>
      <c r="I105">
        <v>-4.4000000000000004</v>
      </c>
      <c r="J105">
        <v>0</v>
      </c>
      <c r="K105">
        <v>0</v>
      </c>
    </row>
    <row r="106" spans="1:11" x14ac:dyDescent="0.25">
      <c r="A106">
        <v>2002</v>
      </c>
      <c r="B106" t="s">
        <v>22</v>
      </c>
      <c r="C106">
        <v>9</v>
      </c>
      <c r="D106">
        <v>7</v>
      </c>
      <c r="E106">
        <v>381</v>
      </c>
      <c r="F106">
        <v>346</v>
      </c>
      <c r="G106">
        <v>4</v>
      </c>
      <c r="H106">
        <v>2.1</v>
      </c>
      <c r="I106">
        <v>1.9</v>
      </c>
      <c r="J106">
        <v>0</v>
      </c>
      <c r="K106">
        <v>0</v>
      </c>
    </row>
    <row r="107" spans="1:11" x14ac:dyDescent="0.25">
      <c r="A107">
        <v>2002</v>
      </c>
      <c r="B107" t="s">
        <v>20</v>
      </c>
      <c r="C107">
        <v>9</v>
      </c>
      <c r="D107">
        <v>7</v>
      </c>
      <c r="E107">
        <v>378</v>
      </c>
      <c r="F107">
        <v>301</v>
      </c>
      <c r="G107">
        <v>6.1</v>
      </c>
      <c r="H107">
        <v>1.7</v>
      </c>
      <c r="I107">
        <v>4.4000000000000004</v>
      </c>
      <c r="J107">
        <v>0</v>
      </c>
      <c r="K107">
        <v>0</v>
      </c>
    </row>
    <row r="108" spans="1:11" x14ac:dyDescent="0.25">
      <c r="A108">
        <v>2002</v>
      </c>
      <c r="B108" t="s">
        <v>8</v>
      </c>
      <c r="C108">
        <v>8</v>
      </c>
      <c r="D108">
        <v>8</v>
      </c>
      <c r="E108">
        <v>379</v>
      </c>
      <c r="F108">
        <v>397</v>
      </c>
      <c r="G108">
        <v>-0.3</v>
      </c>
      <c r="H108">
        <v>2.1</v>
      </c>
      <c r="I108">
        <v>-2.2999999999999998</v>
      </c>
      <c r="J108">
        <v>0</v>
      </c>
      <c r="K108">
        <v>0</v>
      </c>
    </row>
    <row r="109" spans="1:11" x14ac:dyDescent="0.25">
      <c r="A109">
        <v>2002</v>
      </c>
      <c r="B109" t="s">
        <v>11</v>
      </c>
      <c r="C109">
        <v>2</v>
      </c>
      <c r="D109">
        <v>14</v>
      </c>
      <c r="E109">
        <v>279</v>
      </c>
      <c r="F109">
        <v>456</v>
      </c>
      <c r="G109">
        <v>-10.5</v>
      </c>
      <c r="H109">
        <v>-3.6</v>
      </c>
      <c r="I109">
        <v>-6.9</v>
      </c>
      <c r="J109">
        <v>0</v>
      </c>
      <c r="K109">
        <v>0</v>
      </c>
    </row>
    <row r="110" spans="1:11" x14ac:dyDescent="0.25">
      <c r="A110">
        <v>2002</v>
      </c>
      <c r="B110" t="s">
        <v>18</v>
      </c>
      <c r="C110">
        <v>6</v>
      </c>
      <c r="D110">
        <v>10</v>
      </c>
      <c r="E110">
        <v>328</v>
      </c>
      <c r="F110">
        <v>315</v>
      </c>
      <c r="G110">
        <v>-0.2</v>
      </c>
      <c r="H110">
        <v>-1.3</v>
      </c>
      <c r="I110">
        <v>1.1000000000000001</v>
      </c>
      <c r="J110">
        <v>0</v>
      </c>
      <c r="K110">
        <v>0</v>
      </c>
    </row>
    <row r="111" spans="1:11" x14ac:dyDescent="0.25">
      <c r="A111">
        <v>2002</v>
      </c>
      <c r="B111" t="s">
        <v>39</v>
      </c>
      <c r="C111">
        <v>4</v>
      </c>
      <c r="D111">
        <v>12</v>
      </c>
      <c r="E111">
        <v>213</v>
      </c>
      <c r="F111">
        <v>356</v>
      </c>
      <c r="G111">
        <v>-9.4</v>
      </c>
      <c r="H111">
        <v>-8.4</v>
      </c>
      <c r="I111">
        <v>-1.1000000000000001</v>
      </c>
      <c r="J111">
        <v>0</v>
      </c>
      <c r="K111">
        <v>0</v>
      </c>
    </row>
    <row r="112" spans="1:11" x14ac:dyDescent="0.25">
      <c r="A112">
        <v>2002</v>
      </c>
      <c r="B112" t="s">
        <v>14</v>
      </c>
      <c r="C112">
        <v>9</v>
      </c>
      <c r="D112">
        <v>7</v>
      </c>
      <c r="E112">
        <v>392</v>
      </c>
      <c r="F112">
        <v>344</v>
      </c>
      <c r="G112">
        <v>4.9000000000000004</v>
      </c>
      <c r="H112">
        <v>3</v>
      </c>
      <c r="I112">
        <v>1.9</v>
      </c>
      <c r="J112">
        <v>0</v>
      </c>
      <c r="K112">
        <v>0</v>
      </c>
    </row>
    <row r="113" spans="1:11" x14ac:dyDescent="0.25">
      <c r="A113">
        <v>2002</v>
      </c>
      <c r="B113" t="s">
        <v>31</v>
      </c>
      <c r="C113">
        <v>8</v>
      </c>
      <c r="D113">
        <v>8</v>
      </c>
      <c r="E113">
        <v>333</v>
      </c>
      <c r="F113">
        <v>367</v>
      </c>
      <c r="G113">
        <v>-0.7</v>
      </c>
      <c r="H113">
        <v>-1</v>
      </c>
      <c r="I113">
        <v>0.2</v>
      </c>
      <c r="J113">
        <v>0</v>
      </c>
      <c r="K113">
        <v>0</v>
      </c>
    </row>
    <row r="114" spans="1:11" x14ac:dyDescent="0.25">
      <c r="A114">
        <v>2002</v>
      </c>
      <c r="B114" t="s">
        <v>19</v>
      </c>
      <c r="C114">
        <v>8</v>
      </c>
      <c r="D114">
        <v>8</v>
      </c>
      <c r="E114">
        <v>467</v>
      </c>
      <c r="F114">
        <v>399</v>
      </c>
      <c r="G114">
        <v>6.1</v>
      </c>
      <c r="H114">
        <v>8.4</v>
      </c>
      <c r="I114">
        <v>-2.2999999999999998</v>
      </c>
      <c r="J114">
        <v>0</v>
      </c>
      <c r="K114">
        <v>0</v>
      </c>
    </row>
    <row r="115" spans="1:11" x14ac:dyDescent="0.25">
      <c r="A115">
        <v>2002</v>
      </c>
      <c r="B115" t="s">
        <v>13</v>
      </c>
      <c r="C115">
        <v>5</v>
      </c>
      <c r="D115">
        <v>11</v>
      </c>
      <c r="E115">
        <v>217</v>
      </c>
      <c r="F115">
        <v>329</v>
      </c>
      <c r="G115">
        <v>-8.5</v>
      </c>
      <c r="H115">
        <v>-8.1999999999999993</v>
      </c>
      <c r="I115">
        <v>-0.3</v>
      </c>
      <c r="J115">
        <v>0</v>
      </c>
      <c r="K115">
        <v>0</v>
      </c>
    </row>
    <row r="116" spans="1:11" x14ac:dyDescent="0.25">
      <c r="A116">
        <v>2002</v>
      </c>
      <c r="B116" t="s">
        <v>21</v>
      </c>
      <c r="C116">
        <v>6</v>
      </c>
      <c r="D116">
        <v>10</v>
      </c>
      <c r="E116">
        <v>390</v>
      </c>
      <c r="F116">
        <v>442</v>
      </c>
      <c r="G116">
        <v>-3</v>
      </c>
      <c r="H116">
        <v>3.1</v>
      </c>
      <c r="I116">
        <v>-6.1</v>
      </c>
      <c r="J116">
        <v>0</v>
      </c>
      <c r="K116">
        <v>0</v>
      </c>
    </row>
    <row r="117" spans="1:11" x14ac:dyDescent="0.25">
      <c r="A117">
        <v>2002</v>
      </c>
      <c r="B117" t="s">
        <v>10</v>
      </c>
      <c r="C117">
        <v>4</v>
      </c>
      <c r="D117">
        <v>12</v>
      </c>
      <c r="E117">
        <v>281</v>
      </c>
      <c r="F117">
        <v>379</v>
      </c>
      <c r="G117">
        <v>-5.3</v>
      </c>
      <c r="H117">
        <v>-4.4000000000000004</v>
      </c>
      <c r="I117">
        <v>-0.9</v>
      </c>
      <c r="J117">
        <v>0</v>
      </c>
      <c r="K117">
        <v>0</v>
      </c>
    </row>
    <row r="118" spans="1:11" x14ac:dyDescent="0.25">
      <c r="A118">
        <v>2002</v>
      </c>
      <c r="B118" t="s">
        <v>15</v>
      </c>
      <c r="C118">
        <v>3</v>
      </c>
      <c r="D118">
        <v>13</v>
      </c>
      <c r="E118">
        <v>306</v>
      </c>
      <c r="F118">
        <v>451</v>
      </c>
      <c r="G118">
        <v>-9.1999999999999993</v>
      </c>
      <c r="H118">
        <v>-2.5</v>
      </c>
      <c r="I118">
        <v>-6.7</v>
      </c>
      <c r="J118">
        <v>0</v>
      </c>
      <c r="K118">
        <v>0</v>
      </c>
    </row>
    <row r="119" spans="1:11" x14ac:dyDescent="0.25">
      <c r="A119">
        <v>2002</v>
      </c>
      <c r="B119" t="s">
        <v>23</v>
      </c>
      <c r="C119">
        <v>9</v>
      </c>
      <c r="D119">
        <v>7</v>
      </c>
      <c r="E119">
        <v>432</v>
      </c>
      <c r="F119">
        <v>388</v>
      </c>
      <c r="G119">
        <v>2.4</v>
      </c>
      <c r="H119">
        <v>5.8</v>
      </c>
      <c r="I119">
        <v>-3.3</v>
      </c>
      <c r="J119">
        <v>0</v>
      </c>
      <c r="K119">
        <v>0</v>
      </c>
    </row>
    <row r="120" spans="1:11" x14ac:dyDescent="0.25">
      <c r="A120">
        <v>2002</v>
      </c>
      <c r="B120" t="s">
        <v>5</v>
      </c>
      <c r="C120">
        <v>5</v>
      </c>
      <c r="D120">
        <v>11</v>
      </c>
      <c r="E120">
        <v>262</v>
      </c>
      <c r="F120">
        <v>417</v>
      </c>
      <c r="G120">
        <v>-9.9</v>
      </c>
      <c r="H120">
        <v>-5.4</v>
      </c>
      <c r="I120">
        <v>-4.5</v>
      </c>
      <c r="J120">
        <v>0</v>
      </c>
      <c r="K120">
        <v>0</v>
      </c>
    </row>
    <row r="121" spans="1:11" x14ac:dyDescent="0.25">
      <c r="A121">
        <v>2003</v>
      </c>
      <c r="B121" t="s">
        <v>20</v>
      </c>
      <c r="C121">
        <v>10</v>
      </c>
      <c r="D121">
        <v>6</v>
      </c>
      <c r="E121">
        <v>311</v>
      </c>
      <c r="F121">
        <v>261</v>
      </c>
      <c r="G121">
        <v>3.4</v>
      </c>
      <c r="H121">
        <v>-0.7</v>
      </c>
      <c r="I121">
        <v>4.0999999999999996</v>
      </c>
      <c r="J121">
        <v>0</v>
      </c>
      <c r="K121">
        <v>0</v>
      </c>
    </row>
    <row r="122" spans="1:11" x14ac:dyDescent="0.25">
      <c r="A122">
        <v>2003</v>
      </c>
      <c r="B122" t="s">
        <v>8</v>
      </c>
      <c r="C122">
        <v>6</v>
      </c>
      <c r="D122">
        <v>10</v>
      </c>
      <c r="E122">
        <v>243</v>
      </c>
      <c r="F122">
        <v>279</v>
      </c>
      <c r="G122">
        <v>-1</v>
      </c>
      <c r="H122">
        <v>-5</v>
      </c>
      <c r="I122">
        <v>4</v>
      </c>
      <c r="J122">
        <v>0</v>
      </c>
      <c r="K122">
        <v>0</v>
      </c>
    </row>
    <row r="123" spans="1:11" x14ac:dyDescent="0.25">
      <c r="A123">
        <v>2003</v>
      </c>
      <c r="B123" t="s">
        <v>25</v>
      </c>
      <c r="C123">
        <v>6</v>
      </c>
      <c r="D123">
        <v>10</v>
      </c>
      <c r="E123">
        <v>283</v>
      </c>
      <c r="F123">
        <v>299</v>
      </c>
      <c r="G123">
        <v>-0.6</v>
      </c>
      <c r="H123">
        <v>-1.9</v>
      </c>
      <c r="I123">
        <v>1.3</v>
      </c>
      <c r="J123">
        <v>0</v>
      </c>
      <c r="K123">
        <v>0</v>
      </c>
    </row>
    <row r="124" spans="1:11" x14ac:dyDescent="0.25">
      <c r="A124">
        <v>2003</v>
      </c>
      <c r="B124" t="s">
        <v>11</v>
      </c>
      <c r="C124">
        <v>8</v>
      </c>
      <c r="D124">
        <v>8</v>
      </c>
      <c r="E124">
        <v>346</v>
      </c>
      <c r="F124">
        <v>384</v>
      </c>
      <c r="G124">
        <v>-2.4</v>
      </c>
      <c r="H124">
        <v>1.1000000000000001</v>
      </c>
      <c r="I124">
        <v>-3.5</v>
      </c>
      <c r="J124">
        <v>0</v>
      </c>
      <c r="K124">
        <v>0</v>
      </c>
    </row>
    <row r="125" spans="1:11" x14ac:dyDescent="0.25">
      <c r="A125">
        <v>2003</v>
      </c>
      <c r="B125" t="s">
        <v>29</v>
      </c>
      <c r="C125">
        <v>6</v>
      </c>
      <c r="D125">
        <v>10</v>
      </c>
      <c r="E125">
        <v>300</v>
      </c>
      <c r="F125">
        <v>327</v>
      </c>
      <c r="G125">
        <v>-1.1000000000000001</v>
      </c>
      <c r="H125">
        <v>-2.5</v>
      </c>
      <c r="I125">
        <v>1.4</v>
      </c>
      <c r="J125">
        <v>0</v>
      </c>
      <c r="K125">
        <v>0</v>
      </c>
    </row>
    <row r="126" spans="1:11" x14ac:dyDescent="0.25">
      <c r="A126">
        <v>2003</v>
      </c>
      <c r="B126" t="s">
        <v>12</v>
      </c>
      <c r="C126">
        <v>5</v>
      </c>
      <c r="D126">
        <v>11</v>
      </c>
      <c r="E126">
        <v>254</v>
      </c>
      <c r="F126">
        <v>322</v>
      </c>
      <c r="G126">
        <v>-2.9</v>
      </c>
      <c r="H126">
        <v>-5.3</v>
      </c>
      <c r="I126">
        <v>2.4</v>
      </c>
      <c r="J126">
        <v>0</v>
      </c>
      <c r="K126">
        <v>0</v>
      </c>
    </row>
    <row r="127" spans="1:11" x14ac:dyDescent="0.25">
      <c r="A127">
        <v>2003</v>
      </c>
      <c r="B127" t="s">
        <v>18</v>
      </c>
      <c r="C127">
        <v>5</v>
      </c>
      <c r="D127">
        <v>11</v>
      </c>
      <c r="E127">
        <v>276</v>
      </c>
      <c r="F127">
        <v>331</v>
      </c>
      <c r="G127">
        <v>-2.4</v>
      </c>
      <c r="H127">
        <v>-3.3</v>
      </c>
      <c r="I127">
        <v>0.9</v>
      </c>
      <c r="J127">
        <v>0</v>
      </c>
      <c r="K127">
        <v>0</v>
      </c>
    </row>
    <row r="128" spans="1:11" x14ac:dyDescent="0.25">
      <c r="A128">
        <v>2003</v>
      </c>
      <c r="B128" t="s">
        <v>39</v>
      </c>
      <c r="C128">
        <v>5</v>
      </c>
      <c r="D128">
        <v>11</v>
      </c>
      <c r="E128">
        <v>255</v>
      </c>
      <c r="F128">
        <v>380</v>
      </c>
      <c r="G128">
        <v>-6</v>
      </c>
      <c r="H128">
        <v>-4.4000000000000004</v>
      </c>
      <c r="I128">
        <v>-1.5</v>
      </c>
      <c r="J128">
        <v>0</v>
      </c>
      <c r="K128">
        <v>0</v>
      </c>
    </row>
    <row r="129" spans="1:11" x14ac:dyDescent="0.25">
      <c r="A129">
        <v>2003</v>
      </c>
      <c r="B129" t="s">
        <v>27</v>
      </c>
      <c r="C129">
        <v>4</v>
      </c>
      <c r="D129">
        <v>12</v>
      </c>
      <c r="E129">
        <v>270</v>
      </c>
      <c r="F129">
        <v>379</v>
      </c>
      <c r="G129">
        <v>-5.5</v>
      </c>
      <c r="H129">
        <v>-4.2</v>
      </c>
      <c r="I129">
        <v>-1.3</v>
      </c>
      <c r="J129">
        <v>0</v>
      </c>
      <c r="K129">
        <v>0</v>
      </c>
    </row>
    <row r="130" spans="1:11" x14ac:dyDescent="0.25">
      <c r="A130">
        <v>2003</v>
      </c>
      <c r="B130" t="s">
        <v>31</v>
      </c>
      <c r="C130">
        <v>4</v>
      </c>
      <c r="D130">
        <v>12</v>
      </c>
      <c r="E130">
        <v>313</v>
      </c>
      <c r="F130">
        <v>441</v>
      </c>
      <c r="G130">
        <v>-6.8</v>
      </c>
      <c r="H130">
        <v>-0.6</v>
      </c>
      <c r="I130">
        <v>-6.2</v>
      </c>
      <c r="J130">
        <v>0</v>
      </c>
      <c r="K130">
        <v>0</v>
      </c>
    </row>
    <row r="131" spans="1:11" x14ac:dyDescent="0.25">
      <c r="A131">
        <v>2003</v>
      </c>
      <c r="B131" t="s">
        <v>38</v>
      </c>
      <c r="C131">
        <v>5</v>
      </c>
      <c r="D131">
        <v>11</v>
      </c>
      <c r="E131">
        <v>287</v>
      </c>
      <c r="F131">
        <v>372</v>
      </c>
      <c r="G131">
        <v>-5.7</v>
      </c>
      <c r="H131">
        <v>-1.9</v>
      </c>
      <c r="I131">
        <v>-3.8</v>
      </c>
      <c r="J131">
        <v>0</v>
      </c>
      <c r="K131">
        <v>0</v>
      </c>
    </row>
    <row r="132" spans="1:11" x14ac:dyDescent="0.25">
      <c r="A132">
        <v>2003</v>
      </c>
      <c r="B132" t="s">
        <v>24</v>
      </c>
      <c r="C132">
        <v>4</v>
      </c>
      <c r="D132">
        <v>12</v>
      </c>
      <c r="E132">
        <v>243</v>
      </c>
      <c r="F132">
        <v>387</v>
      </c>
      <c r="G132">
        <v>-8.6</v>
      </c>
      <c r="H132">
        <v>-4.8</v>
      </c>
      <c r="I132">
        <v>-3.7</v>
      </c>
      <c r="J132">
        <v>0</v>
      </c>
      <c r="K132">
        <v>0</v>
      </c>
    </row>
    <row r="133" spans="1:11" x14ac:dyDescent="0.25">
      <c r="A133">
        <v>2003</v>
      </c>
      <c r="B133" t="s">
        <v>21</v>
      </c>
      <c r="C133">
        <v>9</v>
      </c>
      <c r="D133">
        <v>7</v>
      </c>
      <c r="E133">
        <v>416</v>
      </c>
      <c r="F133">
        <v>353</v>
      </c>
      <c r="G133">
        <v>2.9</v>
      </c>
      <c r="H133">
        <v>4</v>
      </c>
      <c r="I133">
        <v>-1.1000000000000001</v>
      </c>
      <c r="J133">
        <v>0</v>
      </c>
      <c r="K133">
        <v>0</v>
      </c>
    </row>
    <row r="134" spans="1:11" x14ac:dyDescent="0.25">
      <c r="A134">
        <v>2003</v>
      </c>
      <c r="B134" t="s">
        <v>15</v>
      </c>
      <c r="C134">
        <v>5</v>
      </c>
      <c r="D134">
        <v>11</v>
      </c>
      <c r="E134">
        <v>270</v>
      </c>
      <c r="F134">
        <v>379</v>
      </c>
      <c r="G134">
        <v>-5.8</v>
      </c>
      <c r="H134">
        <v>-4.3</v>
      </c>
      <c r="I134">
        <v>-1.6</v>
      </c>
      <c r="J134">
        <v>0</v>
      </c>
      <c r="K134">
        <v>0</v>
      </c>
    </row>
    <row r="135" spans="1:11" x14ac:dyDescent="0.25">
      <c r="A135">
        <v>2003</v>
      </c>
      <c r="B135" t="s">
        <v>23</v>
      </c>
      <c r="C135">
        <v>8</v>
      </c>
      <c r="D135">
        <v>8</v>
      </c>
      <c r="E135">
        <v>340</v>
      </c>
      <c r="F135">
        <v>326</v>
      </c>
      <c r="G135">
        <v>-0.3</v>
      </c>
      <c r="H135">
        <v>0.1</v>
      </c>
      <c r="I135">
        <v>-0.4</v>
      </c>
      <c r="J135">
        <v>0</v>
      </c>
      <c r="K135">
        <v>0</v>
      </c>
    </row>
    <row r="136" spans="1:11" x14ac:dyDescent="0.25">
      <c r="A136">
        <v>2003</v>
      </c>
      <c r="B136" t="s">
        <v>6</v>
      </c>
      <c r="C136">
        <v>5</v>
      </c>
      <c r="D136">
        <v>11</v>
      </c>
      <c r="E136">
        <v>299</v>
      </c>
      <c r="F136">
        <v>422</v>
      </c>
      <c r="G136">
        <v>-7.4</v>
      </c>
      <c r="H136">
        <v>-2</v>
      </c>
      <c r="I136">
        <v>-5.4</v>
      </c>
      <c r="J136">
        <v>0</v>
      </c>
      <c r="K136">
        <v>0</v>
      </c>
    </row>
    <row r="137" spans="1:11" x14ac:dyDescent="0.25">
      <c r="A137">
        <v>2003</v>
      </c>
      <c r="B137" t="s">
        <v>5</v>
      </c>
      <c r="C137">
        <v>4</v>
      </c>
      <c r="D137">
        <v>12</v>
      </c>
      <c r="E137">
        <v>225</v>
      </c>
      <c r="F137">
        <v>452</v>
      </c>
      <c r="G137">
        <v>-12.6</v>
      </c>
      <c r="H137">
        <v>-6.3</v>
      </c>
      <c r="I137">
        <v>-6.2</v>
      </c>
      <c r="J137">
        <v>0</v>
      </c>
      <c r="K137">
        <v>0</v>
      </c>
    </row>
    <row r="138" spans="1:11" x14ac:dyDescent="0.25">
      <c r="A138">
        <v>2004</v>
      </c>
      <c r="B138" t="s">
        <v>8</v>
      </c>
      <c r="C138">
        <v>9</v>
      </c>
      <c r="D138">
        <v>7</v>
      </c>
      <c r="E138">
        <v>395</v>
      </c>
      <c r="F138">
        <v>284</v>
      </c>
      <c r="G138">
        <v>8.1</v>
      </c>
      <c r="H138">
        <v>4.5999999999999996</v>
      </c>
      <c r="I138">
        <v>3.5</v>
      </c>
      <c r="J138">
        <v>0</v>
      </c>
      <c r="K138">
        <v>0</v>
      </c>
    </row>
    <row r="139" spans="1:11" x14ac:dyDescent="0.25">
      <c r="A139">
        <v>2004</v>
      </c>
      <c r="B139" t="s">
        <v>20</v>
      </c>
      <c r="C139">
        <v>4</v>
      </c>
      <c r="D139">
        <v>12</v>
      </c>
      <c r="E139">
        <v>275</v>
      </c>
      <c r="F139">
        <v>354</v>
      </c>
      <c r="G139">
        <v>-2.2000000000000002</v>
      </c>
      <c r="H139">
        <v>-2.7</v>
      </c>
      <c r="I139">
        <v>0.5</v>
      </c>
      <c r="J139">
        <v>0</v>
      </c>
      <c r="K139">
        <v>0</v>
      </c>
    </row>
    <row r="140" spans="1:11" x14ac:dyDescent="0.25">
      <c r="A140">
        <v>2004</v>
      </c>
      <c r="B140" t="s">
        <v>7</v>
      </c>
      <c r="C140">
        <v>9</v>
      </c>
      <c r="D140">
        <v>7</v>
      </c>
      <c r="E140">
        <v>317</v>
      </c>
      <c r="F140">
        <v>268</v>
      </c>
      <c r="G140">
        <v>6.1</v>
      </c>
      <c r="H140">
        <v>-0.6</v>
      </c>
      <c r="I140">
        <v>6.8</v>
      </c>
      <c r="J140">
        <v>0</v>
      </c>
      <c r="K140">
        <v>0</v>
      </c>
    </row>
    <row r="141" spans="1:11" x14ac:dyDescent="0.25">
      <c r="A141">
        <v>2004</v>
      </c>
      <c r="B141" t="s">
        <v>11</v>
      </c>
      <c r="C141">
        <v>8</v>
      </c>
      <c r="D141">
        <v>8</v>
      </c>
      <c r="E141">
        <v>374</v>
      </c>
      <c r="F141">
        <v>372</v>
      </c>
      <c r="G141">
        <v>2.7</v>
      </c>
      <c r="H141">
        <v>4.3</v>
      </c>
      <c r="I141">
        <v>-1.6</v>
      </c>
      <c r="J141">
        <v>0</v>
      </c>
      <c r="K141">
        <v>0</v>
      </c>
    </row>
    <row r="142" spans="1:11" x14ac:dyDescent="0.25">
      <c r="A142">
        <v>2004</v>
      </c>
      <c r="B142" t="s">
        <v>12</v>
      </c>
      <c r="C142">
        <v>4</v>
      </c>
      <c r="D142">
        <v>12</v>
      </c>
      <c r="E142">
        <v>276</v>
      </c>
      <c r="F142">
        <v>390</v>
      </c>
      <c r="G142">
        <v>-3.4</v>
      </c>
      <c r="H142">
        <v>-1.5</v>
      </c>
      <c r="I142">
        <v>-1.9</v>
      </c>
      <c r="J142">
        <v>0</v>
      </c>
      <c r="K142">
        <v>0</v>
      </c>
    </row>
    <row r="143" spans="1:11" x14ac:dyDescent="0.25">
      <c r="A143">
        <v>2004</v>
      </c>
      <c r="B143" t="s">
        <v>18</v>
      </c>
      <c r="C143">
        <v>9</v>
      </c>
      <c r="D143">
        <v>7</v>
      </c>
      <c r="E143">
        <v>261</v>
      </c>
      <c r="F143">
        <v>280</v>
      </c>
      <c r="G143">
        <v>0.8</v>
      </c>
      <c r="H143">
        <v>-5.7</v>
      </c>
      <c r="I143">
        <v>6.4</v>
      </c>
      <c r="J143">
        <v>0</v>
      </c>
      <c r="K143">
        <v>0</v>
      </c>
    </row>
    <row r="144" spans="1:11" x14ac:dyDescent="0.25">
      <c r="A144">
        <v>2004</v>
      </c>
      <c r="B144" t="s">
        <v>37</v>
      </c>
      <c r="C144">
        <v>5</v>
      </c>
      <c r="D144">
        <v>11</v>
      </c>
      <c r="E144">
        <v>344</v>
      </c>
      <c r="F144">
        <v>439</v>
      </c>
      <c r="G144">
        <v>-4.4000000000000004</v>
      </c>
      <c r="H144">
        <v>0.3</v>
      </c>
      <c r="I144">
        <v>-4.5999999999999996</v>
      </c>
      <c r="J144">
        <v>0</v>
      </c>
      <c r="K144">
        <v>0</v>
      </c>
    </row>
    <row r="145" spans="1:11" x14ac:dyDescent="0.25">
      <c r="A145">
        <v>2004</v>
      </c>
      <c r="B145" t="s">
        <v>27</v>
      </c>
      <c r="C145">
        <v>5</v>
      </c>
      <c r="D145">
        <v>11</v>
      </c>
      <c r="E145">
        <v>320</v>
      </c>
      <c r="F145">
        <v>442</v>
      </c>
      <c r="G145">
        <v>-4.3</v>
      </c>
      <c r="H145">
        <v>-0.6</v>
      </c>
      <c r="I145">
        <v>-3.7</v>
      </c>
      <c r="J145">
        <v>0</v>
      </c>
      <c r="K145">
        <v>0</v>
      </c>
    </row>
    <row r="146" spans="1:11" x14ac:dyDescent="0.25">
      <c r="A146">
        <v>2004</v>
      </c>
      <c r="B146" t="s">
        <v>24</v>
      </c>
      <c r="C146">
        <v>6</v>
      </c>
      <c r="D146">
        <v>10</v>
      </c>
      <c r="E146">
        <v>303</v>
      </c>
      <c r="F146">
        <v>347</v>
      </c>
      <c r="G146">
        <v>-3.9</v>
      </c>
      <c r="H146">
        <v>-2.2999999999999998</v>
      </c>
      <c r="I146">
        <v>-1.6</v>
      </c>
      <c r="J146">
        <v>0</v>
      </c>
      <c r="K146">
        <v>0</v>
      </c>
    </row>
    <row r="147" spans="1:11" x14ac:dyDescent="0.25">
      <c r="A147">
        <v>2004</v>
      </c>
      <c r="B147" t="s">
        <v>13</v>
      </c>
      <c r="C147">
        <v>6</v>
      </c>
      <c r="D147">
        <v>10</v>
      </c>
      <c r="E147">
        <v>293</v>
      </c>
      <c r="F147">
        <v>405</v>
      </c>
      <c r="G147">
        <v>-7.8</v>
      </c>
      <c r="H147">
        <v>-3</v>
      </c>
      <c r="I147">
        <v>-4.8</v>
      </c>
      <c r="J147">
        <v>0</v>
      </c>
      <c r="K147">
        <v>0</v>
      </c>
    </row>
    <row r="148" spans="1:11" x14ac:dyDescent="0.25">
      <c r="A148">
        <v>2004</v>
      </c>
      <c r="B148" t="s">
        <v>38</v>
      </c>
      <c r="C148">
        <v>6</v>
      </c>
      <c r="D148">
        <v>10</v>
      </c>
      <c r="E148">
        <v>240</v>
      </c>
      <c r="F148">
        <v>265</v>
      </c>
      <c r="G148">
        <v>-3.4</v>
      </c>
      <c r="H148">
        <v>-7.4</v>
      </c>
      <c r="I148">
        <v>4</v>
      </c>
      <c r="J148">
        <v>0</v>
      </c>
      <c r="K148">
        <v>0</v>
      </c>
    </row>
    <row r="149" spans="1:11" x14ac:dyDescent="0.25">
      <c r="A149">
        <v>2004</v>
      </c>
      <c r="B149" t="s">
        <v>15</v>
      </c>
      <c r="C149">
        <v>6</v>
      </c>
      <c r="D149">
        <v>10</v>
      </c>
      <c r="E149">
        <v>296</v>
      </c>
      <c r="F149">
        <v>350</v>
      </c>
      <c r="G149">
        <v>-5.2</v>
      </c>
      <c r="H149">
        <v>-3.8</v>
      </c>
      <c r="I149">
        <v>-1.4</v>
      </c>
      <c r="J149">
        <v>0</v>
      </c>
      <c r="K149">
        <v>0</v>
      </c>
    </row>
    <row r="150" spans="1:11" x14ac:dyDescent="0.25">
      <c r="A150">
        <v>2004</v>
      </c>
      <c r="B150" t="s">
        <v>10</v>
      </c>
      <c r="C150">
        <v>5</v>
      </c>
      <c r="D150">
        <v>11</v>
      </c>
      <c r="E150">
        <v>231</v>
      </c>
      <c r="F150">
        <v>331</v>
      </c>
      <c r="G150">
        <v>-8.1999999999999993</v>
      </c>
      <c r="H150">
        <v>-8.5</v>
      </c>
      <c r="I150">
        <v>0.3</v>
      </c>
      <c r="J150">
        <v>0</v>
      </c>
      <c r="K150">
        <v>0</v>
      </c>
    </row>
    <row r="151" spans="1:11" x14ac:dyDescent="0.25">
      <c r="A151">
        <v>2004</v>
      </c>
      <c r="B151" t="s">
        <v>23</v>
      </c>
      <c r="C151">
        <v>8</v>
      </c>
      <c r="D151">
        <v>8</v>
      </c>
      <c r="E151">
        <v>348</v>
      </c>
      <c r="F151">
        <v>405</v>
      </c>
      <c r="G151">
        <v>-5.6</v>
      </c>
      <c r="H151">
        <v>-1.2</v>
      </c>
      <c r="I151">
        <v>-4.3</v>
      </c>
      <c r="J151">
        <v>0</v>
      </c>
      <c r="K151">
        <v>0</v>
      </c>
    </row>
    <row r="152" spans="1:11" x14ac:dyDescent="0.25">
      <c r="A152">
        <v>2004</v>
      </c>
      <c r="B152" t="s">
        <v>36</v>
      </c>
      <c r="C152">
        <v>5</v>
      </c>
      <c r="D152">
        <v>11</v>
      </c>
      <c r="E152">
        <v>301</v>
      </c>
      <c r="F152">
        <v>304</v>
      </c>
      <c r="G152">
        <v>-2.7</v>
      </c>
      <c r="H152">
        <v>-4</v>
      </c>
      <c r="I152">
        <v>1.3</v>
      </c>
      <c r="J152">
        <v>0</v>
      </c>
      <c r="K152">
        <v>0</v>
      </c>
    </row>
    <row r="153" spans="1:11" x14ac:dyDescent="0.25">
      <c r="A153">
        <v>2004</v>
      </c>
      <c r="B153" t="s">
        <v>5</v>
      </c>
      <c r="C153">
        <v>6</v>
      </c>
      <c r="D153">
        <v>10</v>
      </c>
      <c r="E153">
        <v>284</v>
      </c>
      <c r="F153">
        <v>322</v>
      </c>
      <c r="G153">
        <v>-4.9000000000000004</v>
      </c>
      <c r="H153">
        <v>-5.0999999999999996</v>
      </c>
      <c r="I153">
        <v>0.2</v>
      </c>
      <c r="J153">
        <v>0</v>
      </c>
      <c r="K153">
        <v>0</v>
      </c>
    </row>
    <row r="154" spans="1:11" x14ac:dyDescent="0.25">
      <c r="A154">
        <v>2004</v>
      </c>
      <c r="B154" t="s">
        <v>32</v>
      </c>
      <c r="C154">
        <v>2</v>
      </c>
      <c r="D154">
        <v>14</v>
      </c>
      <c r="E154">
        <v>259</v>
      </c>
      <c r="F154">
        <v>452</v>
      </c>
      <c r="G154">
        <v>-13.6</v>
      </c>
      <c r="H154">
        <v>-5.0999999999999996</v>
      </c>
      <c r="I154">
        <v>-8.6</v>
      </c>
      <c r="J154">
        <v>0</v>
      </c>
      <c r="K154">
        <v>0</v>
      </c>
    </row>
    <row r="155" spans="1:11" x14ac:dyDescent="0.25">
      <c r="A155">
        <v>2005</v>
      </c>
      <c r="B155" t="s">
        <v>20</v>
      </c>
      <c r="C155">
        <v>9</v>
      </c>
      <c r="D155">
        <v>7</v>
      </c>
      <c r="E155">
        <v>318</v>
      </c>
      <c r="F155">
        <v>317</v>
      </c>
      <c r="G155">
        <v>-0.8</v>
      </c>
      <c r="H155">
        <v>-1.1000000000000001</v>
      </c>
      <c r="I155">
        <v>0.3</v>
      </c>
      <c r="J155">
        <v>0</v>
      </c>
      <c r="K155">
        <v>0</v>
      </c>
    </row>
    <row r="156" spans="1:11" x14ac:dyDescent="0.25">
      <c r="A156">
        <v>2005</v>
      </c>
      <c r="B156" t="s">
        <v>8</v>
      </c>
      <c r="C156">
        <v>5</v>
      </c>
      <c r="D156">
        <v>11</v>
      </c>
      <c r="E156">
        <v>271</v>
      </c>
      <c r="F156">
        <v>367</v>
      </c>
      <c r="G156">
        <v>-5.8</v>
      </c>
      <c r="H156">
        <v>-4</v>
      </c>
      <c r="I156">
        <v>-1.8</v>
      </c>
      <c r="J156">
        <v>0</v>
      </c>
      <c r="K156">
        <v>0</v>
      </c>
    </row>
    <row r="157" spans="1:11" x14ac:dyDescent="0.25">
      <c r="A157">
        <v>2005</v>
      </c>
      <c r="B157" t="s">
        <v>25</v>
      </c>
      <c r="C157">
        <v>4</v>
      </c>
      <c r="D157">
        <v>12</v>
      </c>
      <c r="E157">
        <v>240</v>
      </c>
      <c r="F157">
        <v>355</v>
      </c>
      <c r="G157">
        <v>-6.4</v>
      </c>
      <c r="H157">
        <v>-5.2</v>
      </c>
      <c r="I157">
        <v>-1.2</v>
      </c>
      <c r="J157">
        <v>0</v>
      </c>
      <c r="K157">
        <v>0</v>
      </c>
    </row>
    <row r="158" spans="1:11" x14ac:dyDescent="0.25">
      <c r="A158">
        <v>2005</v>
      </c>
      <c r="B158" t="s">
        <v>7</v>
      </c>
      <c r="C158">
        <v>6</v>
      </c>
      <c r="D158">
        <v>10</v>
      </c>
      <c r="E158">
        <v>265</v>
      </c>
      <c r="F158">
        <v>299</v>
      </c>
      <c r="G158">
        <v>-1.8</v>
      </c>
      <c r="H158">
        <v>-3.5</v>
      </c>
      <c r="I158">
        <v>1.7</v>
      </c>
      <c r="J158">
        <v>0</v>
      </c>
      <c r="K158">
        <v>0</v>
      </c>
    </row>
    <row r="159" spans="1:11" x14ac:dyDescent="0.25">
      <c r="A159">
        <v>2005</v>
      </c>
      <c r="B159" t="s">
        <v>12</v>
      </c>
      <c r="C159">
        <v>6</v>
      </c>
      <c r="D159">
        <v>10</v>
      </c>
      <c r="E159">
        <v>232</v>
      </c>
      <c r="F159">
        <v>301</v>
      </c>
      <c r="G159">
        <v>-4.2</v>
      </c>
      <c r="H159">
        <v>-6</v>
      </c>
      <c r="I159">
        <v>1.7</v>
      </c>
      <c r="J159">
        <v>0</v>
      </c>
      <c r="K159">
        <v>0</v>
      </c>
    </row>
    <row r="160" spans="1:11" x14ac:dyDescent="0.25">
      <c r="A160">
        <v>2005</v>
      </c>
      <c r="B160" t="s">
        <v>37</v>
      </c>
      <c r="C160">
        <v>4</v>
      </c>
      <c r="D160">
        <v>12</v>
      </c>
      <c r="E160">
        <v>299</v>
      </c>
      <c r="F160">
        <v>421</v>
      </c>
      <c r="G160">
        <v>-7.6</v>
      </c>
      <c r="H160">
        <v>-2</v>
      </c>
      <c r="I160">
        <v>-5.5</v>
      </c>
      <c r="J160">
        <v>0</v>
      </c>
      <c r="K160">
        <v>0</v>
      </c>
    </row>
    <row r="161" spans="1:11" x14ac:dyDescent="0.25">
      <c r="A161">
        <v>2005</v>
      </c>
      <c r="B161" t="s">
        <v>39</v>
      </c>
      <c r="C161">
        <v>2</v>
      </c>
      <c r="D161">
        <v>14</v>
      </c>
      <c r="E161">
        <v>260</v>
      </c>
      <c r="F161">
        <v>431</v>
      </c>
      <c r="G161">
        <v>-10</v>
      </c>
      <c r="H161">
        <v>-4.4000000000000004</v>
      </c>
      <c r="I161">
        <v>-5.7</v>
      </c>
      <c r="J161">
        <v>0</v>
      </c>
      <c r="K161">
        <v>0</v>
      </c>
    </row>
    <row r="162" spans="1:11" x14ac:dyDescent="0.25">
      <c r="A162">
        <v>2005</v>
      </c>
      <c r="B162" t="s">
        <v>19</v>
      </c>
      <c r="C162">
        <v>10</v>
      </c>
      <c r="D162">
        <v>6</v>
      </c>
      <c r="E162">
        <v>403</v>
      </c>
      <c r="F162">
        <v>325</v>
      </c>
      <c r="G162">
        <v>7</v>
      </c>
      <c r="H162">
        <v>5.0999999999999996</v>
      </c>
      <c r="I162">
        <v>1.9</v>
      </c>
      <c r="J162">
        <v>0</v>
      </c>
      <c r="K162">
        <v>0</v>
      </c>
    </row>
    <row r="163" spans="1:11" x14ac:dyDescent="0.25">
      <c r="A163">
        <v>2005</v>
      </c>
      <c r="B163" t="s">
        <v>31</v>
      </c>
      <c r="C163">
        <v>9</v>
      </c>
      <c r="D163">
        <v>7</v>
      </c>
      <c r="E163">
        <v>418</v>
      </c>
      <c r="F163">
        <v>312</v>
      </c>
      <c r="G163">
        <v>9.9</v>
      </c>
      <c r="H163">
        <v>7.1</v>
      </c>
      <c r="I163">
        <v>2.9</v>
      </c>
      <c r="J163">
        <v>0</v>
      </c>
      <c r="K163">
        <v>0</v>
      </c>
    </row>
    <row r="164" spans="1:11" x14ac:dyDescent="0.25">
      <c r="A164">
        <v>2005</v>
      </c>
      <c r="B164" t="s">
        <v>27</v>
      </c>
      <c r="C164">
        <v>4</v>
      </c>
      <c r="D164">
        <v>12</v>
      </c>
      <c r="E164">
        <v>290</v>
      </c>
      <c r="F164">
        <v>383</v>
      </c>
      <c r="G164">
        <v>-2.8</v>
      </c>
      <c r="H164">
        <v>-1.2</v>
      </c>
      <c r="I164">
        <v>-1.6</v>
      </c>
      <c r="J164">
        <v>0</v>
      </c>
      <c r="K164">
        <v>0</v>
      </c>
    </row>
    <row r="165" spans="1:11" x14ac:dyDescent="0.25">
      <c r="A165">
        <v>2005</v>
      </c>
      <c r="B165" t="s">
        <v>13</v>
      </c>
      <c r="C165">
        <v>9</v>
      </c>
      <c r="D165">
        <v>7</v>
      </c>
      <c r="E165">
        <v>325</v>
      </c>
      <c r="F165">
        <v>308</v>
      </c>
      <c r="G165">
        <v>3.2</v>
      </c>
      <c r="H165">
        <v>-0.1</v>
      </c>
      <c r="I165">
        <v>3.2</v>
      </c>
      <c r="J165">
        <v>0</v>
      </c>
      <c r="K165">
        <v>0</v>
      </c>
    </row>
    <row r="166" spans="1:11" x14ac:dyDescent="0.25">
      <c r="A166">
        <v>2005</v>
      </c>
      <c r="B166" t="s">
        <v>28</v>
      </c>
      <c r="C166">
        <v>6</v>
      </c>
      <c r="D166">
        <v>10</v>
      </c>
      <c r="E166">
        <v>310</v>
      </c>
      <c r="F166">
        <v>388</v>
      </c>
      <c r="G166">
        <v>-2.2999999999999998</v>
      </c>
      <c r="H166">
        <v>-0.7</v>
      </c>
      <c r="I166">
        <v>-1.7</v>
      </c>
      <c r="J166">
        <v>0</v>
      </c>
      <c r="K166">
        <v>0</v>
      </c>
    </row>
    <row r="167" spans="1:11" x14ac:dyDescent="0.25">
      <c r="A167">
        <v>2005</v>
      </c>
      <c r="B167" t="s">
        <v>21</v>
      </c>
      <c r="C167">
        <v>9</v>
      </c>
      <c r="D167">
        <v>7</v>
      </c>
      <c r="E167">
        <v>306</v>
      </c>
      <c r="F167">
        <v>344</v>
      </c>
      <c r="G167">
        <v>-3.5</v>
      </c>
      <c r="H167">
        <v>-1.4</v>
      </c>
      <c r="I167">
        <v>-2.1</v>
      </c>
      <c r="J167">
        <v>0</v>
      </c>
      <c r="K167">
        <v>0</v>
      </c>
    </row>
    <row r="168" spans="1:11" x14ac:dyDescent="0.25">
      <c r="A168">
        <v>2005</v>
      </c>
      <c r="B168" t="s">
        <v>15</v>
      </c>
      <c r="C168">
        <v>5</v>
      </c>
      <c r="D168">
        <v>11</v>
      </c>
      <c r="E168">
        <v>254</v>
      </c>
      <c r="F168">
        <v>345</v>
      </c>
      <c r="G168">
        <v>-6.7</v>
      </c>
      <c r="H168">
        <v>-4.3</v>
      </c>
      <c r="I168">
        <v>-2.4</v>
      </c>
      <c r="J168">
        <v>0</v>
      </c>
      <c r="K168">
        <v>0</v>
      </c>
    </row>
    <row r="169" spans="1:11" x14ac:dyDescent="0.25">
      <c r="A169">
        <v>2005</v>
      </c>
      <c r="B169" t="s">
        <v>16</v>
      </c>
      <c r="C169">
        <v>4</v>
      </c>
      <c r="D169">
        <v>12</v>
      </c>
      <c r="E169">
        <v>298</v>
      </c>
      <c r="F169">
        <v>344</v>
      </c>
      <c r="G169">
        <v>-3.7</v>
      </c>
      <c r="H169">
        <v>-1.5</v>
      </c>
      <c r="I169">
        <v>-2.2000000000000002</v>
      </c>
      <c r="J169">
        <v>0</v>
      </c>
      <c r="K169">
        <v>0</v>
      </c>
    </row>
    <row r="170" spans="1:11" x14ac:dyDescent="0.25">
      <c r="A170">
        <v>2005</v>
      </c>
      <c r="B170" t="s">
        <v>6</v>
      </c>
      <c r="C170">
        <v>8</v>
      </c>
      <c r="D170">
        <v>8</v>
      </c>
      <c r="E170">
        <v>351</v>
      </c>
      <c r="F170">
        <v>341</v>
      </c>
      <c r="G170">
        <v>-1.2</v>
      </c>
      <c r="H170">
        <v>1.1000000000000001</v>
      </c>
      <c r="I170">
        <v>-2.2999999999999998</v>
      </c>
      <c r="J170">
        <v>0</v>
      </c>
      <c r="K170">
        <v>0</v>
      </c>
    </row>
    <row r="171" spans="1:11" x14ac:dyDescent="0.25">
      <c r="A171">
        <v>2005</v>
      </c>
      <c r="B171" t="s">
        <v>23</v>
      </c>
      <c r="C171">
        <v>3</v>
      </c>
      <c r="D171">
        <v>13</v>
      </c>
      <c r="E171">
        <v>235</v>
      </c>
      <c r="F171">
        <v>398</v>
      </c>
      <c r="G171">
        <v>-11.1</v>
      </c>
      <c r="H171">
        <v>-6.2</v>
      </c>
      <c r="I171">
        <v>-4.9000000000000004</v>
      </c>
      <c r="J171">
        <v>0</v>
      </c>
      <c r="K171">
        <v>0</v>
      </c>
    </row>
    <row r="172" spans="1:11" x14ac:dyDescent="0.25">
      <c r="A172">
        <v>2005</v>
      </c>
      <c r="B172" t="s">
        <v>35</v>
      </c>
      <c r="C172">
        <v>6</v>
      </c>
      <c r="D172">
        <v>10</v>
      </c>
      <c r="E172">
        <v>363</v>
      </c>
      <c r="F172">
        <v>429</v>
      </c>
      <c r="G172">
        <v>-5.0999999999999996</v>
      </c>
      <c r="H172">
        <v>1.3</v>
      </c>
      <c r="I172">
        <v>-6.4</v>
      </c>
      <c r="J172">
        <v>0</v>
      </c>
      <c r="K172">
        <v>0</v>
      </c>
    </row>
    <row r="173" spans="1:11" x14ac:dyDescent="0.25">
      <c r="A173">
        <v>2005</v>
      </c>
      <c r="B173" t="s">
        <v>5</v>
      </c>
      <c r="C173">
        <v>5</v>
      </c>
      <c r="D173">
        <v>11</v>
      </c>
      <c r="E173">
        <v>311</v>
      </c>
      <c r="F173">
        <v>387</v>
      </c>
      <c r="G173">
        <v>-5</v>
      </c>
      <c r="H173">
        <v>-2</v>
      </c>
      <c r="I173">
        <v>-3</v>
      </c>
      <c r="J173">
        <v>0</v>
      </c>
      <c r="K173">
        <v>0</v>
      </c>
    </row>
    <row r="174" spans="1:11" x14ac:dyDescent="0.25">
      <c r="A174">
        <v>2005</v>
      </c>
      <c r="B174" t="s">
        <v>32</v>
      </c>
      <c r="C174">
        <v>4</v>
      </c>
      <c r="D174">
        <v>12</v>
      </c>
      <c r="E174">
        <v>239</v>
      </c>
      <c r="F174">
        <v>428</v>
      </c>
      <c r="G174">
        <v>-11.1</v>
      </c>
      <c r="H174">
        <v>-5.6</v>
      </c>
      <c r="I174">
        <v>-5.5</v>
      </c>
      <c r="J174">
        <v>0</v>
      </c>
      <c r="K174">
        <v>0</v>
      </c>
    </row>
    <row r="175" spans="1:11" x14ac:dyDescent="0.25">
      <c r="A175">
        <v>2006</v>
      </c>
      <c r="B175" t="s">
        <v>20</v>
      </c>
      <c r="C175">
        <v>6</v>
      </c>
      <c r="D175">
        <v>10</v>
      </c>
      <c r="E175">
        <v>260</v>
      </c>
      <c r="F175">
        <v>283</v>
      </c>
      <c r="G175">
        <v>0.7</v>
      </c>
      <c r="H175">
        <v>-3.3</v>
      </c>
      <c r="I175">
        <v>4</v>
      </c>
      <c r="J175">
        <v>0</v>
      </c>
      <c r="K175">
        <v>0</v>
      </c>
    </row>
    <row r="176" spans="1:11" x14ac:dyDescent="0.25">
      <c r="A176">
        <v>2006</v>
      </c>
      <c r="B176" t="s">
        <v>11</v>
      </c>
      <c r="C176">
        <v>8</v>
      </c>
      <c r="D176">
        <v>8</v>
      </c>
      <c r="E176">
        <v>373</v>
      </c>
      <c r="F176">
        <v>331</v>
      </c>
      <c r="G176">
        <v>4.0999999999999996</v>
      </c>
      <c r="H176">
        <v>4</v>
      </c>
      <c r="I176">
        <v>0</v>
      </c>
      <c r="J176">
        <v>0</v>
      </c>
      <c r="K176">
        <v>0</v>
      </c>
    </row>
    <row r="177" spans="1:11" x14ac:dyDescent="0.25">
      <c r="A177">
        <v>2006</v>
      </c>
      <c r="B177" t="s">
        <v>29</v>
      </c>
      <c r="C177">
        <v>8</v>
      </c>
      <c r="D177">
        <v>8</v>
      </c>
      <c r="E177">
        <v>353</v>
      </c>
      <c r="F177">
        <v>315</v>
      </c>
      <c r="G177">
        <v>3.4</v>
      </c>
      <c r="H177">
        <v>3</v>
      </c>
      <c r="I177">
        <v>0.4</v>
      </c>
      <c r="J177">
        <v>0</v>
      </c>
      <c r="K177">
        <v>0</v>
      </c>
    </row>
    <row r="178" spans="1:11" x14ac:dyDescent="0.25">
      <c r="A178">
        <v>2006</v>
      </c>
      <c r="B178" t="s">
        <v>12</v>
      </c>
      <c r="C178">
        <v>4</v>
      </c>
      <c r="D178">
        <v>12</v>
      </c>
      <c r="E178">
        <v>238</v>
      </c>
      <c r="F178">
        <v>356</v>
      </c>
      <c r="G178">
        <v>-5.8</v>
      </c>
      <c r="H178">
        <v>-4.5</v>
      </c>
      <c r="I178">
        <v>-1.3</v>
      </c>
      <c r="J178">
        <v>0</v>
      </c>
      <c r="K178">
        <v>0</v>
      </c>
    </row>
    <row r="179" spans="1:11" x14ac:dyDescent="0.25">
      <c r="A179">
        <v>2006</v>
      </c>
      <c r="B179" t="s">
        <v>37</v>
      </c>
      <c r="C179">
        <v>8</v>
      </c>
      <c r="D179">
        <v>8</v>
      </c>
      <c r="E179">
        <v>324</v>
      </c>
      <c r="F179">
        <v>400</v>
      </c>
      <c r="G179">
        <v>-1.3</v>
      </c>
      <c r="H179">
        <v>1</v>
      </c>
      <c r="I179">
        <v>-2.2999999999999998</v>
      </c>
      <c r="J179">
        <v>0</v>
      </c>
      <c r="K179">
        <v>0</v>
      </c>
    </row>
    <row r="180" spans="1:11" x14ac:dyDescent="0.25">
      <c r="A180">
        <v>2006</v>
      </c>
      <c r="B180" t="s">
        <v>18</v>
      </c>
      <c r="C180">
        <v>8</v>
      </c>
      <c r="D180">
        <v>8</v>
      </c>
      <c r="E180">
        <v>371</v>
      </c>
      <c r="F180">
        <v>274</v>
      </c>
      <c r="G180">
        <v>7.5</v>
      </c>
      <c r="H180">
        <v>2.6</v>
      </c>
      <c r="I180">
        <v>4.9000000000000004</v>
      </c>
      <c r="J180">
        <v>0</v>
      </c>
      <c r="K180">
        <v>0</v>
      </c>
    </row>
    <row r="181" spans="1:11" x14ac:dyDescent="0.25">
      <c r="A181">
        <v>2006</v>
      </c>
      <c r="B181" t="s">
        <v>39</v>
      </c>
      <c r="C181">
        <v>6</v>
      </c>
      <c r="D181">
        <v>10</v>
      </c>
      <c r="E181">
        <v>267</v>
      </c>
      <c r="F181">
        <v>366</v>
      </c>
      <c r="G181">
        <v>-4.5</v>
      </c>
      <c r="H181">
        <v>-3.2</v>
      </c>
      <c r="I181">
        <v>-1.3</v>
      </c>
      <c r="J181">
        <v>0</v>
      </c>
      <c r="K181">
        <v>0</v>
      </c>
    </row>
    <row r="182" spans="1:11" x14ac:dyDescent="0.25">
      <c r="A182">
        <v>2006</v>
      </c>
      <c r="B182" t="s">
        <v>14</v>
      </c>
      <c r="C182">
        <v>9</v>
      </c>
      <c r="D182">
        <v>7</v>
      </c>
      <c r="E182">
        <v>319</v>
      </c>
      <c r="F182">
        <v>305</v>
      </c>
      <c r="G182">
        <v>1.3</v>
      </c>
      <c r="H182">
        <v>-0.8</v>
      </c>
      <c r="I182">
        <v>2.1</v>
      </c>
      <c r="J182">
        <v>0</v>
      </c>
      <c r="K182">
        <v>0</v>
      </c>
    </row>
    <row r="183" spans="1:11" x14ac:dyDescent="0.25">
      <c r="A183">
        <v>2006</v>
      </c>
      <c r="B183" t="s">
        <v>27</v>
      </c>
      <c r="C183">
        <v>2</v>
      </c>
      <c r="D183">
        <v>14</v>
      </c>
      <c r="E183">
        <v>168</v>
      </c>
      <c r="F183">
        <v>332</v>
      </c>
      <c r="G183">
        <v>-9.6</v>
      </c>
      <c r="H183">
        <v>-10.3</v>
      </c>
      <c r="I183">
        <v>0.7</v>
      </c>
      <c r="J183">
        <v>0</v>
      </c>
      <c r="K183">
        <v>0</v>
      </c>
    </row>
    <row r="184" spans="1:11" x14ac:dyDescent="0.25">
      <c r="A184">
        <v>2006</v>
      </c>
      <c r="B184" t="s">
        <v>38</v>
      </c>
      <c r="C184">
        <v>5</v>
      </c>
      <c r="D184">
        <v>11</v>
      </c>
      <c r="E184">
        <v>307</v>
      </c>
      <c r="F184">
        <v>376</v>
      </c>
      <c r="G184">
        <v>-4</v>
      </c>
      <c r="H184">
        <v>-2.1</v>
      </c>
      <c r="I184">
        <v>-2</v>
      </c>
      <c r="J184">
        <v>0</v>
      </c>
      <c r="K184">
        <v>0</v>
      </c>
    </row>
    <row r="185" spans="1:11" x14ac:dyDescent="0.25">
      <c r="A185">
        <v>2006</v>
      </c>
      <c r="B185" t="s">
        <v>16</v>
      </c>
      <c r="C185">
        <v>8</v>
      </c>
      <c r="D185">
        <v>8</v>
      </c>
      <c r="E185">
        <v>301</v>
      </c>
      <c r="F185">
        <v>366</v>
      </c>
      <c r="G185">
        <v>-4.4000000000000004</v>
      </c>
      <c r="H185">
        <v>-2.2999999999999998</v>
      </c>
      <c r="I185">
        <v>-2.1</v>
      </c>
      <c r="J185">
        <v>0</v>
      </c>
      <c r="K185">
        <v>0</v>
      </c>
    </row>
    <row r="186" spans="1:11" x14ac:dyDescent="0.25">
      <c r="A186">
        <v>2006</v>
      </c>
      <c r="B186" t="s">
        <v>21</v>
      </c>
      <c r="C186">
        <v>6</v>
      </c>
      <c r="D186">
        <v>10</v>
      </c>
      <c r="E186">
        <v>282</v>
      </c>
      <c r="F186">
        <v>327</v>
      </c>
      <c r="G186">
        <v>-4.0999999999999996</v>
      </c>
      <c r="H186">
        <v>-3.7</v>
      </c>
      <c r="I186">
        <v>-0.4</v>
      </c>
      <c r="J186">
        <v>0</v>
      </c>
      <c r="K186">
        <v>0</v>
      </c>
    </row>
    <row r="187" spans="1:11" x14ac:dyDescent="0.25">
      <c r="A187">
        <v>2006</v>
      </c>
      <c r="B187" t="s">
        <v>15</v>
      </c>
      <c r="C187">
        <v>3</v>
      </c>
      <c r="D187">
        <v>13</v>
      </c>
      <c r="E187">
        <v>305</v>
      </c>
      <c r="F187">
        <v>398</v>
      </c>
      <c r="G187">
        <v>-6.4</v>
      </c>
      <c r="H187">
        <v>-1.8</v>
      </c>
      <c r="I187">
        <v>-4.5999999999999996</v>
      </c>
      <c r="J187">
        <v>0</v>
      </c>
      <c r="K187">
        <v>0</v>
      </c>
    </row>
    <row r="188" spans="1:11" x14ac:dyDescent="0.25">
      <c r="A188">
        <v>2006</v>
      </c>
      <c r="B188" t="s">
        <v>9</v>
      </c>
      <c r="C188">
        <v>8</v>
      </c>
      <c r="D188">
        <v>8</v>
      </c>
      <c r="E188">
        <v>270</v>
      </c>
      <c r="F188">
        <v>305</v>
      </c>
      <c r="G188">
        <v>-2.7</v>
      </c>
      <c r="H188">
        <v>-4.2</v>
      </c>
      <c r="I188">
        <v>1.5</v>
      </c>
      <c r="J188">
        <v>0</v>
      </c>
      <c r="K188">
        <v>0</v>
      </c>
    </row>
    <row r="189" spans="1:11" x14ac:dyDescent="0.25">
      <c r="A189">
        <v>2006</v>
      </c>
      <c r="B189" t="s">
        <v>36</v>
      </c>
      <c r="C189">
        <v>4</v>
      </c>
      <c r="D189">
        <v>12</v>
      </c>
      <c r="E189">
        <v>211</v>
      </c>
      <c r="F189">
        <v>353</v>
      </c>
      <c r="G189">
        <v>-7.9</v>
      </c>
      <c r="H189">
        <v>-7.2</v>
      </c>
      <c r="I189">
        <v>-0.8</v>
      </c>
      <c r="J189">
        <v>0</v>
      </c>
      <c r="K189">
        <v>0</v>
      </c>
    </row>
    <row r="190" spans="1:11" x14ac:dyDescent="0.25">
      <c r="A190">
        <v>2006</v>
      </c>
      <c r="B190" t="s">
        <v>35</v>
      </c>
      <c r="C190">
        <v>8</v>
      </c>
      <c r="D190">
        <v>8</v>
      </c>
      <c r="E190">
        <v>367</v>
      </c>
      <c r="F190">
        <v>381</v>
      </c>
      <c r="G190">
        <v>-4</v>
      </c>
      <c r="H190">
        <v>0.8</v>
      </c>
      <c r="I190">
        <v>-4.7</v>
      </c>
      <c r="J190">
        <v>0</v>
      </c>
      <c r="K190">
        <v>0</v>
      </c>
    </row>
    <row r="191" spans="1:11" x14ac:dyDescent="0.25">
      <c r="A191">
        <v>2006</v>
      </c>
      <c r="B191" t="s">
        <v>5</v>
      </c>
      <c r="C191">
        <v>5</v>
      </c>
      <c r="D191">
        <v>11</v>
      </c>
      <c r="E191">
        <v>314</v>
      </c>
      <c r="F191">
        <v>389</v>
      </c>
      <c r="G191">
        <v>-6.9</v>
      </c>
      <c r="H191">
        <v>-2.6</v>
      </c>
      <c r="I191">
        <v>-4.3</v>
      </c>
      <c r="J191">
        <v>0</v>
      </c>
      <c r="K191">
        <v>0</v>
      </c>
    </row>
    <row r="192" spans="1:11" x14ac:dyDescent="0.25">
      <c r="A192">
        <v>2007</v>
      </c>
      <c r="B192" t="s">
        <v>25</v>
      </c>
      <c r="C192">
        <v>4</v>
      </c>
      <c r="D192">
        <v>12</v>
      </c>
      <c r="E192">
        <v>268</v>
      </c>
      <c r="F192">
        <v>355</v>
      </c>
      <c r="G192">
        <v>-3.7</v>
      </c>
      <c r="H192">
        <v>-4</v>
      </c>
      <c r="I192">
        <v>0.3</v>
      </c>
      <c r="J192">
        <v>0</v>
      </c>
      <c r="K192">
        <v>0</v>
      </c>
    </row>
    <row r="193" spans="1:11" x14ac:dyDescent="0.25">
      <c r="A193">
        <v>2007</v>
      </c>
      <c r="B193" t="s">
        <v>20</v>
      </c>
      <c r="C193">
        <v>1</v>
      </c>
      <c r="D193">
        <v>15</v>
      </c>
      <c r="E193">
        <v>267</v>
      </c>
      <c r="F193">
        <v>437</v>
      </c>
      <c r="G193">
        <v>-8.4</v>
      </c>
      <c r="H193">
        <v>-4.0999999999999996</v>
      </c>
      <c r="I193">
        <v>-4.2</v>
      </c>
      <c r="J193">
        <v>0</v>
      </c>
      <c r="K193">
        <v>0</v>
      </c>
    </row>
    <row r="194" spans="1:11" x14ac:dyDescent="0.25">
      <c r="A194">
        <v>2007</v>
      </c>
      <c r="B194" t="s">
        <v>12</v>
      </c>
      <c r="C194">
        <v>10</v>
      </c>
      <c r="D194">
        <v>6</v>
      </c>
      <c r="E194">
        <v>402</v>
      </c>
      <c r="F194">
        <v>382</v>
      </c>
      <c r="G194">
        <v>-1.1000000000000001</v>
      </c>
      <c r="H194">
        <v>2.2000000000000002</v>
      </c>
      <c r="I194">
        <v>-3.3</v>
      </c>
      <c r="J194">
        <v>0</v>
      </c>
      <c r="K194">
        <v>0</v>
      </c>
    </row>
    <row r="195" spans="1:11" x14ac:dyDescent="0.25">
      <c r="A195">
        <v>2007</v>
      </c>
      <c r="B195" t="s">
        <v>7</v>
      </c>
      <c r="C195">
        <v>5</v>
      </c>
      <c r="D195">
        <v>11</v>
      </c>
      <c r="E195">
        <v>275</v>
      </c>
      <c r="F195">
        <v>384</v>
      </c>
      <c r="G195">
        <v>-6.7</v>
      </c>
      <c r="H195">
        <v>-5</v>
      </c>
      <c r="I195">
        <v>-1.8</v>
      </c>
      <c r="J195">
        <v>0</v>
      </c>
      <c r="K195">
        <v>0</v>
      </c>
    </row>
    <row r="196" spans="1:11" x14ac:dyDescent="0.25">
      <c r="A196">
        <v>2007</v>
      </c>
      <c r="B196" t="s">
        <v>39</v>
      </c>
      <c r="C196">
        <v>8</v>
      </c>
      <c r="D196">
        <v>8</v>
      </c>
      <c r="E196">
        <v>379</v>
      </c>
      <c r="F196">
        <v>384</v>
      </c>
      <c r="G196">
        <v>0</v>
      </c>
      <c r="H196">
        <v>2.5</v>
      </c>
      <c r="I196">
        <v>-2.5</v>
      </c>
      <c r="J196">
        <v>0</v>
      </c>
      <c r="K196">
        <v>0</v>
      </c>
    </row>
    <row r="197" spans="1:11" x14ac:dyDescent="0.25">
      <c r="A197">
        <v>2007</v>
      </c>
      <c r="B197" t="s">
        <v>19</v>
      </c>
      <c r="C197">
        <v>4</v>
      </c>
      <c r="D197">
        <v>12</v>
      </c>
      <c r="E197">
        <v>226</v>
      </c>
      <c r="F197">
        <v>335</v>
      </c>
      <c r="G197">
        <v>-5.5</v>
      </c>
      <c r="H197">
        <v>-7.4</v>
      </c>
      <c r="I197">
        <v>1.9</v>
      </c>
      <c r="J197">
        <v>0</v>
      </c>
      <c r="K197">
        <v>0</v>
      </c>
    </row>
    <row r="198" spans="1:11" x14ac:dyDescent="0.25">
      <c r="A198">
        <v>2007</v>
      </c>
      <c r="B198" t="s">
        <v>27</v>
      </c>
      <c r="C198">
        <v>4</v>
      </c>
      <c r="D198">
        <v>12</v>
      </c>
      <c r="E198">
        <v>283</v>
      </c>
      <c r="F198">
        <v>398</v>
      </c>
      <c r="G198">
        <v>-6</v>
      </c>
      <c r="H198">
        <v>-3.5</v>
      </c>
      <c r="I198">
        <v>-2.5</v>
      </c>
      <c r="J198">
        <v>0</v>
      </c>
      <c r="K198">
        <v>0</v>
      </c>
    </row>
    <row r="199" spans="1:11" x14ac:dyDescent="0.25">
      <c r="A199">
        <v>2007</v>
      </c>
      <c r="B199" t="s">
        <v>28</v>
      </c>
      <c r="C199">
        <v>8</v>
      </c>
      <c r="D199">
        <v>8</v>
      </c>
      <c r="E199">
        <v>336</v>
      </c>
      <c r="F199">
        <v>300</v>
      </c>
      <c r="G199">
        <v>5.3</v>
      </c>
      <c r="H199">
        <v>0.1</v>
      </c>
      <c r="I199">
        <v>5.0999999999999996</v>
      </c>
      <c r="J199">
        <v>0</v>
      </c>
      <c r="K199">
        <v>0</v>
      </c>
    </row>
    <row r="200" spans="1:11" x14ac:dyDescent="0.25">
      <c r="A200">
        <v>2007</v>
      </c>
      <c r="B200" t="s">
        <v>21</v>
      </c>
      <c r="C200">
        <v>8</v>
      </c>
      <c r="D200">
        <v>8</v>
      </c>
      <c r="E200">
        <v>365</v>
      </c>
      <c r="F200">
        <v>311</v>
      </c>
      <c r="G200">
        <v>3.8</v>
      </c>
      <c r="H200">
        <v>1.4</v>
      </c>
      <c r="I200">
        <v>2.4</v>
      </c>
      <c r="J200">
        <v>0</v>
      </c>
      <c r="K200">
        <v>0</v>
      </c>
    </row>
    <row r="201" spans="1:11" x14ac:dyDescent="0.25">
      <c r="A201">
        <v>2007</v>
      </c>
      <c r="B201" t="s">
        <v>6</v>
      </c>
      <c r="C201">
        <v>4</v>
      </c>
      <c r="D201">
        <v>12</v>
      </c>
      <c r="E201">
        <v>259</v>
      </c>
      <c r="F201">
        <v>414</v>
      </c>
      <c r="G201">
        <v>-10.6</v>
      </c>
      <c r="H201">
        <v>-5.8</v>
      </c>
      <c r="I201">
        <v>-4.8</v>
      </c>
      <c r="J201">
        <v>0</v>
      </c>
      <c r="K201">
        <v>0</v>
      </c>
    </row>
    <row r="202" spans="1:11" x14ac:dyDescent="0.25">
      <c r="A202">
        <v>2007</v>
      </c>
      <c r="B202" t="s">
        <v>5</v>
      </c>
      <c r="C202">
        <v>8</v>
      </c>
      <c r="D202">
        <v>8</v>
      </c>
      <c r="E202">
        <v>404</v>
      </c>
      <c r="F202">
        <v>399</v>
      </c>
      <c r="G202">
        <v>-3.9</v>
      </c>
      <c r="H202">
        <v>1.9</v>
      </c>
      <c r="I202">
        <v>-5.9</v>
      </c>
      <c r="J202">
        <v>0</v>
      </c>
      <c r="K202">
        <v>0</v>
      </c>
    </row>
    <row r="203" spans="1:11" x14ac:dyDescent="0.25">
      <c r="A203">
        <v>2007</v>
      </c>
      <c r="B203" t="s">
        <v>32</v>
      </c>
      <c r="C203">
        <v>5</v>
      </c>
      <c r="D203">
        <v>11</v>
      </c>
      <c r="E203">
        <v>219</v>
      </c>
      <c r="F203">
        <v>364</v>
      </c>
      <c r="G203">
        <v>-11.9</v>
      </c>
      <c r="H203">
        <v>-9.9</v>
      </c>
      <c r="I203">
        <v>-2</v>
      </c>
      <c r="J203">
        <v>0</v>
      </c>
      <c r="K203">
        <v>0</v>
      </c>
    </row>
    <row r="204" spans="1:11" x14ac:dyDescent="0.25">
      <c r="A204">
        <v>2007</v>
      </c>
      <c r="B204" t="s">
        <v>35</v>
      </c>
      <c r="C204">
        <v>3</v>
      </c>
      <c r="D204">
        <v>13</v>
      </c>
      <c r="E204">
        <v>263</v>
      </c>
      <c r="F204">
        <v>438</v>
      </c>
      <c r="G204">
        <v>-13</v>
      </c>
      <c r="H204">
        <v>-6.5</v>
      </c>
      <c r="I204">
        <v>-6.5</v>
      </c>
      <c r="J204">
        <v>0</v>
      </c>
      <c r="K204">
        <v>0</v>
      </c>
    </row>
    <row r="205" spans="1:11" x14ac:dyDescent="0.25">
      <c r="A205">
        <v>2008</v>
      </c>
      <c r="B205" t="s">
        <v>22</v>
      </c>
      <c r="C205">
        <v>11</v>
      </c>
      <c r="D205">
        <v>5</v>
      </c>
      <c r="E205">
        <v>410</v>
      </c>
      <c r="F205">
        <v>309</v>
      </c>
      <c r="G205">
        <v>3.9</v>
      </c>
      <c r="H205">
        <v>2.2999999999999998</v>
      </c>
      <c r="I205">
        <v>1.6</v>
      </c>
      <c r="J205">
        <v>0</v>
      </c>
      <c r="K205">
        <v>0</v>
      </c>
    </row>
    <row r="206" spans="1:11" x14ac:dyDescent="0.25">
      <c r="A206">
        <v>2008</v>
      </c>
      <c r="B206" t="s">
        <v>25</v>
      </c>
      <c r="C206">
        <v>9</v>
      </c>
      <c r="D206">
        <v>7</v>
      </c>
      <c r="E206">
        <v>405</v>
      </c>
      <c r="F206">
        <v>356</v>
      </c>
      <c r="G206">
        <v>0.2</v>
      </c>
      <c r="H206">
        <v>2.2000000000000002</v>
      </c>
      <c r="I206">
        <v>-1.9</v>
      </c>
      <c r="J206">
        <v>0</v>
      </c>
      <c r="K206">
        <v>0</v>
      </c>
    </row>
    <row r="207" spans="1:11" x14ac:dyDescent="0.25">
      <c r="A207">
        <v>2008</v>
      </c>
      <c r="B207" t="s">
        <v>11</v>
      </c>
      <c r="C207">
        <v>4</v>
      </c>
      <c r="D207">
        <v>11</v>
      </c>
      <c r="E207">
        <v>204</v>
      </c>
      <c r="F207">
        <v>364</v>
      </c>
      <c r="G207">
        <v>-7</v>
      </c>
      <c r="H207">
        <v>-6.9</v>
      </c>
      <c r="I207">
        <v>-0.1</v>
      </c>
      <c r="J207">
        <v>0</v>
      </c>
      <c r="K207">
        <v>0</v>
      </c>
    </row>
    <row r="208" spans="1:11" x14ac:dyDescent="0.25">
      <c r="A208">
        <v>2008</v>
      </c>
      <c r="B208" t="s">
        <v>12</v>
      </c>
      <c r="C208">
        <v>4</v>
      </c>
      <c r="D208">
        <v>12</v>
      </c>
      <c r="E208">
        <v>232</v>
      </c>
      <c r="F208">
        <v>350</v>
      </c>
      <c r="G208">
        <v>-4.5999999999999996</v>
      </c>
      <c r="H208">
        <v>-5.2</v>
      </c>
      <c r="I208">
        <v>0.6</v>
      </c>
      <c r="J208">
        <v>0</v>
      </c>
      <c r="K208">
        <v>0</v>
      </c>
    </row>
    <row r="209" spans="1:11" x14ac:dyDescent="0.25">
      <c r="A209">
        <v>2008</v>
      </c>
      <c r="B209" t="s">
        <v>39</v>
      </c>
      <c r="C209">
        <v>8</v>
      </c>
      <c r="D209">
        <v>8</v>
      </c>
      <c r="E209">
        <v>366</v>
      </c>
      <c r="F209">
        <v>394</v>
      </c>
      <c r="G209">
        <v>-0.4</v>
      </c>
      <c r="H209">
        <v>2.8</v>
      </c>
      <c r="I209">
        <v>-3.2</v>
      </c>
      <c r="J209">
        <v>0</v>
      </c>
      <c r="K209">
        <v>0</v>
      </c>
    </row>
    <row r="210" spans="1:11" x14ac:dyDescent="0.25">
      <c r="A210">
        <v>2008</v>
      </c>
      <c r="B210" t="s">
        <v>18</v>
      </c>
      <c r="C210">
        <v>5</v>
      </c>
      <c r="D210">
        <v>11</v>
      </c>
      <c r="E210">
        <v>302</v>
      </c>
      <c r="F210">
        <v>367</v>
      </c>
      <c r="G210">
        <v>-2.5</v>
      </c>
      <c r="H210">
        <v>-2.1</v>
      </c>
      <c r="I210">
        <v>-0.4</v>
      </c>
      <c r="J210">
        <v>0</v>
      </c>
      <c r="K210">
        <v>0</v>
      </c>
    </row>
    <row r="211" spans="1:11" x14ac:dyDescent="0.25">
      <c r="A211">
        <v>2008</v>
      </c>
      <c r="B211" t="s">
        <v>14</v>
      </c>
      <c r="C211">
        <v>8</v>
      </c>
      <c r="D211">
        <v>8</v>
      </c>
      <c r="E211">
        <v>370</v>
      </c>
      <c r="F211">
        <v>448</v>
      </c>
      <c r="G211">
        <v>-5.8</v>
      </c>
      <c r="H211">
        <v>0.7</v>
      </c>
      <c r="I211">
        <v>-6.5</v>
      </c>
      <c r="J211">
        <v>0</v>
      </c>
      <c r="K211">
        <v>0</v>
      </c>
    </row>
    <row r="212" spans="1:11" x14ac:dyDescent="0.25">
      <c r="A212">
        <v>2008</v>
      </c>
      <c r="B212" t="s">
        <v>27</v>
      </c>
      <c r="C212">
        <v>5</v>
      </c>
      <c r="D212">
        <v>11</v>
      </c>
      <c r="E212">
        <v>263</v>
      </c>
      <c r="F212">
        <v>388</v>
      </c>
      <c r="G212">
        <v>-7.5</v>
      </c>
      <c r="H212">
        <v>-6.5</v>
      </c>
      <c r="I212">
        <v>-1</v>
      </c>
      <c r="J212">
        <v>0</v>
      </c>
      <c r="K212">
        <v>0</v>
      </c>
    </row>
    <row r="213" spans="1:11" x14ac:dyDescent="0.25">
      <c r="A213">
        <v>2008</v>
      </c>
      <c r="B213" t="s">
        <v>19</v>
      </c>
      <c r="C213">
        <v>2</v>
      </c>
      <c r="D213">
        <v>14</v>
      </c>
      <c r="E213">
        <v>291</v>
      </c>
      <c r="F213">
        <v>440</v>
      </c>
      <c r="G213">
        <v>-9.1999999999999993</v>
      </c>
      <c r="H213">
        <v>-3.9</v>
      </c>
      <c r="I213">
        <v>-5.3</v>
      </c>
      <c r="J213">
        <v>0</v>
      </c>
      <c r="K213">
        <v>0</v>
      </c>
    </row>
    <row r="214" spans="1:11" x14ac:dyDescent="0.25">
      <c r="A214">
        <v>2008</v>
      </c>
      <c r="B214" t="s">
        <v>13</v>
      </c>
      <c r="C214">
        <v>9</v>
      </c>
      <c r="D214">
        <v>7</v>
      </c>
      <c r="E214">
        <v>362</v>
      </c>
      <c r="F214">
        <v>365</v>
      </c>
      <c r="G214">
        <v>0.6</v>
      </c>
      <c r="H214">
        <v>1.7</v>
      </c>
      <c r="I214">
        <v>-1.2</v>
      </c>
      <c r="J214">
        <v>0</v>
      </c>
      <c r="K214">
        <v>0</v>
      </c>
    </row>
    <row r="215" spans="1:11" x14ac:dyDescent="0.25">
      <c r="A215">
        <v>2008</v>
      </c>
      <c r="B215" t="s">
        <v>38</v>
      </c>
      <c r="C215">
        <v>8</v>
      </c>
      <c r="D215">
        <v>8</v>
      </c>
      <c r="E215">
        <v>265</v>
      </c>
      <c r="F215">
        <v>296</v>
      </c>
      <c r="G215">
        <v>-1.8</v>
      </c>
      <c r="H215">
        <v>-5.8</v>
      </c>
      <c r="I215">
        <v>4.0999999999999996</v>
      </c>
      <c r="J215">
        <v>0</v>
      </c>
      <c r="K215">
        <v>0</v>
      </c>
    </row>
    <row r="216" spans="1:11" x14ac:dyDescent="0.25">
      <c r="A216">
        <v>2008</v>
      </c>
      <c r="B216" t="s">
        <v>10</v>
      </c>
      <c r="C216">
        <v>9</v>
      </c>
      <c r="D216">
        <v>7</v>
      </c>
      <c r="E216">
        <v>375</v>
      </c>
      <c r="F216">
        <v>350</v>
      </c>
      <c r="G216">
        <v>2.1</v>
      </c>
      <c r="H216">
        <v>1.1000000000000001</v>
      </c>
      <c r="I216">
        <v>1</v>
      </c>
      <c r="J216">
        <v>0</v>
      </c>
      <c r="K216">
        <v>0</v>
      </c>
    </row>
    <row r="217" spans="1:11" x14ac:dyDescent="0.25">
      <c r="A217">
        <v>2008</v>
      </c>
      <c r="B217" t="s">
        <v>16</v>
      </c>
      <c r="C217">
        <v>6</v>
      </c>
      <c r="D217">
        <v>10</v>
      </c>
      <c r="E217">
        <v>419</v>
      </c>
      <c r="F217">
        <v>380</v>
      </c>
      <c r="G217">
        <v>2.9</v>
      </c>
      <c r="H217">
        <v>4.0999999999999996</v>
      </c>
      <c r="I217">
        <v>-1.2</v>
      </c>
      <c r="J217">
        <v>0</v>
      </c>
      <c r="K217">
        <v>0</v>
      </c>
    </row>
    <row r="218" spans="1:11" x14ac:dyDescent="0.25">
      <c r="A218">
        <v>2008</v>
      </c>
      <c r="B218" t="s">
        <v>15</v>
      </c>
      <c r="C218">
        <v>0</v>
      </c>
      <c r="D218">
        <v>16</v>
      </c>
      <c r="E218">
        <v>268</v>
      </c>
      <c r="F218">
        <v>517</v>
      </c>
      <c r="G218">
        <v>-13.1</v>
      </c>
      <c r="H218">
        <v>-4</v>
      </c>
      <c r="I218">
        <v>-9.1</v>
      </c>
      <c r="J218">
        <v>0</v>
      </c>
      <c r="K218">
        <v>0</v>
      </c>
    </row>
    <row r="219" spans="1:11" x14ac:dyDescent="0.25">
      <c r="A219">
        <v>2008</v>
      </c>
      <c r="B219" t="s">
        <v>36</v>
      </c>
      <c r="C219">
        <v>9</v>
      </c>
      <c r="D219">
        <v>7</v>
      </c>
      <c r="E219">
        <v>361</v>
      </c>
      <c r="F219">
        <v>323</v>
      </c>
      <c r="G219">
        <v>2.2999999999999998</v>
      </c>
      <c r="H219">
        <v>-0.6</v>
      </c>
      <c r="I219">
        <v>2.9</v>
      </c>
      <c r="J219">
        <v>0</v>
      </c>
      <c r="K219">
        <v>0</v>
      </c>
    </row>
    <row r="220" spans="1:11" x14ac:dyDescent="0.25">
      <c r="A220">
        <v>2008</v>
      </c>
      <c r="B220" t="s">
        <v>23</v>
      </c>
      <c r="C220">
        <v>8</v>
      </c>
      <c r="D220">
        <v>8</v>
      </c>
      <c r="E220">
        <v>463</v>
      </c>
      <c r="F220">
        <v>393</v>
      </c>
      <c r="G220">
        <v>4</v>
      </c>
      <c r="H220">
        <v>6.8</v>
      </c>
      <c r="I220">
        <v>-2.8</v>
      </c>
      <c r="J220">
        <v>0</v>
      </c>
      <c r="K220">
        <v>0</v>
      </c>
    </row>
    <row r="221" spans="1:11" x14ac:dyDescent="0.25">
      <c r="A221">
        <v>2008</v>
      </c>
      <c r="B221" t="s">
        <v>33</v>
      </c>
      <c r="C221">
        <v>4</v>
      </c>
      <c r="D221">
        <v>12</v>
      </c>
      <c r="E221">
        <v>294</v>
      </c>
      <c r="F221">
        <v>392</v>
      </c>
      <c r="G221">
        <v>-7.6</v>
      </c>
      <c r="H221">
        <v>-4.9000000000000004</v>
      </c>
      <c r="I221">
        <v>-2.8</v>
      </c>
      <c r="J221">
        <v>0</v>
      </c>
      <c r="K221">
        <v>0</v>
      </c>
    </row>
    <row r="222" spans="1:11" x14ac:dyDescent="0.25">
      <c r="A222">
        <v>2008</v>
      </c>
      <c r="B222" t="s">
        <v>35</v>
      </c>
      <c r="C222">
        <v>2</v>
      </c>
      <c r="D222">
        <v>14</v>
      </c>
      <c r="E222">
        <v>232</v>
      </c>
      <c r="F222">
        <v>465</v>
      </c>
      <c r="G222">
        <v>-15.1</v>
      </c>
      <c r="H222">
        <v>-8.1</v>
      </c>
      <c r="I222">
        <v>-7</v>
      </c>
      <c r="J222">
        <v>0</v>
      </c>
      <c r="K222">
        <v>0</v>
      </c>
    </row>
    <row r="223" spans="1:11" x14ac:dyDescent="0.25">
      <c r="A223">
        <v>2009</v>
      </c>
      <c r="B223" t="s">
        <v>8</v>
      </c>
      <c r="C223">
        <v>6</v>
      </c>
      <c r="D223">
        <v>10</v>
      </c>
      <c r="E223">
        <v>258</v>
      </c>
      <c r="F223">
        <v>326</v>
      </c>
      <c r="G223">
        <v>-1.8</v>
      </c>
      <c r="H223">
        <v>-4.5</v>
      </c>
      <c r="I223">
        <v>2.7</v>
      </c>
      <c r="J223">
        <v>0</v>
      </c>
      <c r="K223">
        <v>0</v>
      </c>
    </row>
    <row r="224" spans="1:11" x14ac:dyDescent="0.25">
      <c r="A224">
        <v>2009</v>
      </c>
      <c r="B224" t="s">
        <v>29</v>
      </c>
      <c r="C224">
        <v>9</v>
      </c>
      <c r="D224">
        <v>7</v>
      </c>
      <c r="E224">
        <v>368</v>
      </c>
      <c r="F224">
        <v>324</v>
      </c>
      <c r="G224">
        <v>1.7</v>
      </c>
      <c r="H224">
        <v>1</v>
      </c>
      <c r="I224">
        <v>0.7</v>
      </c>
      <c r="J224">
        <v>0</v>
      </c>
      <c r="K224">
        <v>0</v>
      </c>
    </row>
    <row r="225" spans="1:11" x14ac:dyDescent="0.25">
      <c r="A225">
        <v>2009</v>
      </c>
      <c r="B225" t="s">
        <v>12</v>
      </c>
      <c r="C225">
        <v>5</v>
      </c>
      <c r="D225">
        <v>11</v>
      </c>
      <c r="E225">
        <v>245</v>
      </c>
      <c r="F225">
        <v>375</v>
      </c>
      <c r="G225">
        <v>-8.4</v>
      </c>
      <c r="H225">
        <v>-6</v>
      </c>
      <c r="I225">
        <v>-2.4</v>
      </c>
      <c r="J225">
        <v>0</v>
      </c>
      <c r="K225">
        <v>0</v>
      </c>
    </row>
    <row r="226" spans="1:11" x14ac:dyDescent="0.25">
      <c r="A226">
        <v>2009</v>
      </c>
      <c r="B226" t="s">
        <v>39</v>
      </c>
      <c r="C226">
        <v>9</v>
      </c>
      <c r="D226">
        <v>7</v>
      </c>
      <c r="E226">
        <v>388</v>
      </c>
      <c r="F226">
        <v>333</v>
      </c>
      <c r="G226">
        <v>2</v>
      </c>
      <c r="H226">
        <v>2.7</v>
      </c>
      <c r="I226">
        <v>-0.7</v>
      </c>
      <c r="J226">
        <v>0</v>
      </c>
      <c r="K226">
        <v>0</v>
      </c>
    </row>
    <row r="227" spans="1:11" x14ac:dyDescent="0.25">
      <c r="A227">
        <v>2009</v>
      </c>
      <c r="B227" t="s">
        <v>37</v>
      </c>
      <c r="C227">
        <v>8</v>
      </c>
      <c r="D227">
        <v>8</v>
      </c>
      <c r="E227">
        <v>354</v>
      </c>
      <c r="F227">
        <v>402</v>
      </c>
      <c r="G227">
        <v>-2.8</v>
      </c>
      <c r="H227">
        <v>0.9</v>
      </c>
      <c r="I227">
        <v>-3.6</v>
      </c>
      <c r="J227">
        <v>0</v>
      </c>
      <c r="K227">
        <v>0</v>
      </c>
    </row>
    <row r="228" spans="1:11" x14ac:dyDescent="0.25">
      <c r="A228">
        <v>2009</v>
      </c>
      <c r="B228" t="s">
        <v>14</v>
      </c>
      <c r="C228">
        <v>8</v>
      </c>
      <c r="D228">
        <v>8</v>
      </c>
      <c r="E228">
        <v>326</v>
      </c>
      <c r="F228">
        <v>324</v>
      </c>
      <c r="G228">
        <v>0.3</v>
      </c>
      <c r="H228">
        <v>-1</v>
      </c>
      <c r="I228">
        <v>1.3</v>
      </c>
      <c r="J228">
        <v>0</v>
      </c>
      <c r="K228">
        <v>0</v>
      </c>
    </row>
    <row r="229" spans="1:11" x14ac:dyDescent="0.25">
      <c r="A229">
        <v>2009</v>
      </c>
      <c r="B229" t="s">
        <v>27</v>
      </c>
      <c r="C229">
        <v>5</v>
      </c>
      <c r="D229">
        <v>11</v>
      </c>
      <c r="E229">
        <v>197</v>
      </c>
      <c r="F229">
        <v>379</v>
      </c>
      <c r="G229">
        <v>-10.3</v>
      </c>
      <c r="H229">
        <v>-8.6999999999999993</v>
      </c>
      <c r="I229">
        <v>-1.6</v>
      </c>
      <c r="J229">
        <v>0</v>
      </c>
      <c r="K229">
        <v>0</v>
      </c>
    </row>
    <row r="230" spans="1:11" x14ac:dyDescent="0.25">
      <c r="A230">
        <v>2009</v>
      </c>
      <c r="B230" t="s">
        <v>19</v>
      </c>
      <c r="C230">
        <v>4</v>
      </c>
      <c r="D230">
        <v>12</v>
      </c>
      <c r="E230">
        <v>294</v>
      </c>
      <c r="F230">
        <v>424</v>
      </c>
      <c r="G230">
        <v>-8.4</v>
      </c>
      <c r="H230">
        <v>-2.5</v>
      </c>
      <c r="I230">
        <v>-5.9</v>
      </c>
      <c r="J230">
        <v>0</v>
      </c>
      <c r="K230">
        <v>0</v>
      </c>
    </row>
    <row r="231" spans="1:11" x14ac:dyDescent="0.25">
      <c r="A231">
        <v>2009</v>
      </c>
      <c r="B231" t="s">
        <v>24</v>
      </c>
      <c r="C231">
        <v>8</v>
      </c>
      <c r="D231">
        <v>8</v>
      </c>
      <c r="E231">
        <v>402</v>
      </c>
      <c r="F231">
        <v>427</v>
      </c>
      <c r="G231">
        <v>0.1</v>
      </c>
      <c r="H231">
        <v>4.5999999999999996</v>
      </c>
      <c r="I231">
        <v>-4.5</v>
      </c>
      <c r="J231">
        <v>0</v>
      </c>
      <c r="K231">
        <v>0</v>
      </c>
    </row>
    <row r="232" spans="1:11" x14ac:dyDescent="0.25">
      <c r="A232">
        <v>2009</v>
      </c>
      <c r="B232" t="s">
        <v>38</v>
      </c>
      <c r="C232">
        <v>4</v>
      </c>
      <c r="D232">
        <v>12</v>
      </c>
      <c r="E232">
        <v>266</v>
      </c>
      <c r="F232">
        <v>336</v>
      </c>
      <c r="G232">
        <v>-4.5999999999999996</v>
      </c>
      <c r="H232">
        <v>-5.5</v>
      </c>
      <c r="I232">
        <v>1</v>
      </c>
      <c r="J232">
        <v>0</v>
      </c>
      <c r="K232">
        <v>0</v>
      </c>
    </row>
    <row r="233" spans="1:11" x14ac:dyDescent="0.25">
      <c r="A233">
        <v>2009</v>
      </c>
      <c r="B233" t="s">
        <v>15</v>
      </c>
      <c r="C233">
        <v>2</v>
      </c>
      <c r="D233">
        <v>14</v>
      </c>
      <c r="E233">
        <v>262</v>
      </c>
      <c r="F233">
        <v>494</v>
      </c>
      <c r="G233">
        <v>-14.4</v>
      </c>
      <c r="H233">
        <v>-5.2</v>
      </c>
      <c r="I233">
        <v>-9.1999999999999993</v>
      </c>
      <c r="J233">
        <v>0</v>
      </c>
      <c r="K233">
        <v>0</v>
      </c>
    </row>
    <row r="234" spans="1:11" x14ac:dyDescent="0.25">
      <c r="A234">
        <v>2009</v>
      </c>
      <c r="B234" t="s">
        <v>6</v>
      </c>
      <c r="C234">
        <v>9</v>
      </c>
      <c r="D234">
        <v>7</v>
      </c>
      <c r="E234">
        <v>363</v>
      </c>
      <c r="F234">
        <v>325</v>
      </c>
      <c r="G234">
        <v>5</v>
      </c>
      <c r="H234">
        <v>2.7</v>
      </c>
      <c r="I234">
        <v>2.2999999999999998</v>
      </c>
      <c r="J234">
        <v>0</v>
      </c>
      <c r="K234">
        <v>0</v>
      </c>
    </row>
    <row r="235" spans="1:11" x14ac:dyDescent="0.25">
      <c r="A235">
        <v>2009</v>
      </c>
      <c r="B235" t="s">
        <v>9</v>
      </c>
      <c r="C235">
        <v>8</v>
      </c>
      <c r="D235">
        <v>8</v>
      </c>
      <c r="E235">
        <v>315</v>
      </c>
      <c r="F235">
        <v>308</v>
      </c>
      <c r="G235">
        <v>3.9</v>
      </c>
      <c r="H235">
        <v>-0.6</v>
      </c>
      <c r="I235">
        <v>4.5</v>
      </c>
      <c r="J235">
        <v>0</v>
      </c>
      <c r="K235">
        <v>0</v>
      </c>
    </row>
    <row r="236" spans="1:11" x14ac:dyDescent="0.25">
      <c r="A236">
        <v>2009</v>
      </c>
      <c r="B236" t="s">
        <v>36</v>
      </c>
      <c r="C236">
        <v>3</v>
      </c>
      <c r="D236">
        <v>13</v>
      </c>
      <c r="E236">
        <v>244</v>
      </c>
      <c r="F236">
        <v>400</v>
      </c>
      <c r="G236">
        <v>-5.6</v>
      </c>
      <c r="H236">
        <v>-4.5999999999999996</v>
      </c>
      <c r="I236">
        <v>-1.1000000000000001</v>
      </c>
      <c r="J236">
        <v>0</v>
      </c>
      <c r="K236">
        <v>0</v>
      </c>
    </row>
    <row r="237" spans="1:11" x14ac:dyDescent="0.25">
      <c r="A237">
        <v>2009</v>
      </c>
      <c r="B237" t="s">
        <v>32</v>
      </c>
      <c r="C237">
        <v>8</v>
      </c>
      <c r="D237">
        <v>8</v>
      </c>
      <c r="E237">
        <v>330</v>
      </c>
      <c r="F237">
        <v>281</v>
      </c>
      <c r="G237">
        <v>0.1</v>
      </c>
      <c r="H237">
        <v>-2.9</v>
      </c>
      <c r="I237">
        <v>3</v>
      </c>
      <c r="J237">
        <v>0</v>
      </c>
      <c r="K237">
        <v>0</v>
      </c>
    </row>
    <row r="238" spans="1:11" x14ac:dyDescent="0.25">
      <c r="A238">
        <v>2009</v>
      </c>
      <c r="B238" t="s">
        <v>33</v>
      </c>
      <c r="C238">
        <v>5</v>
      </c>
      <c r="D238">
        <v>11</v>
      </c>
      <c r="E238">
        <v>280</v>
      </c>
      <c r="F238">
        <v>390</v>
      </c>
      <c r="G238">
        <v>-9.3000000000000007</v>
      </c>
      <c r="H238">
        <v>-5</v>
      </c>
      <c r="I238">
        <v>-4.4000000000000004</v>
      </c>
      <c r="J238">
        <v>0</v>
      </c>
      <c r="K238">
        <v>0</v>
      </c>
    </row>
    <row r="239" spans="1:11" x14ac:dyDescent="0.25">
      <c r="A239">
        <v>2009</v>
      </c>
      <c r="B239" t="s">
        <v>35</v>
      </c>
      <c r="C239">
        <v>1</v>
      </c>
      <c r="D239">
        <v>15</v>
      </c>
      <c r="E239">
        <v>175</v>
      </c>
      <c r="F239">
        <v>436</v>
      </c>
      <c r="G239">
        <v>-17.399999999999999</v>
      </c>
      <c r="H239">
        <v>-11.7</v>
      </c>
      <c r="I239">
        <v>-5.8</v>
      </c>
      <c r="J239">
        <v>0</v>
      </c>
      <c r="K239">
        <v>0</v>
      </c>
    </row>
    <row r="240" spans="1:11" x14ac:dyDescent="0.25">
      <c r="A240">
        <v>2010</v>
      </c>
      <c r="B240" t="s">
        <v>8</v>
      </c>
      <c r="C240">
        <v>4</v>
      </c>
      <c r="D240">
        <v>12</v>
      </c>
      <c r="E240">
        <v>283</v>
      </c>
      <c r="F240">
        <v>425</v>
      </c>
      <c r="G240">
        <v>-4.5999999999999996</v>
      </c>
      <c r="H240">
        <v>-1.5</v>
      </c>
      <c r="I240">
        <v>-3.1</v>
      </c>
      <c r="J240">
        <v>0</v>
      </c>
      <c r="K240">
        <v>0</v>
      </c>
    </row>
    <row r="241" spans="1:11" x14ac:dyDescent="0.25">
      <c r="A241">
        <v>2010</v>
      </c>
      <c r="B241" t="s">
        <v>12</v>
      </c>
      <c r="C241">
        <v>5</v>
      </c>
      <c r="D241">
        <v>11</v>
      </c>
      <c r="E241">
        <v>271</v>
      </c>
      <c r="F241">
        <v>332</v>
      </c>
      <c r="G241">
        <v>-1.5</v>
      </c>
      <c r="H241">
        <v>-3.4</v>
      </c>
      <c r="I241">
        <v>2</v>
      </c>
      <c r="J241">
        <v>0</v>
      </c>
      <c r="K241">
        <v>0</v>
      </c>
    </row>
    <row r="242" spans="1:11" x14ac:dyDescent="0.25">
      <c r="A242">
        <v>2010</v>
      </c>
      <c r="B242" t="s">
        <v>11</v>
      </c>
      <c r="C242">
        <v>4</v>
      </c>
      <c r="D242">
        <v>12</v>
      </c>
      <c r="E242">
        <v>322</v>
      </c>
      <c r="F242">
        <v>395</v>
      </c>
      <c r="G242">
        <v>-1.4</v>
      </c>
      <c r="H242">
        <v>0.4</v>
      </c>
      <c r="I242">
        <v>-1.9</v>
      </c>
      <c r="J242">
        <v>0</v>
      </c>
      <c r="K242">
        <v>0</v>
      </c>
    </row>
    <row r="243" spans="1:11" x14ac:dyDescent="0.25">
      <c r="A243">
        <v>2010</v>
      </c>
      <c r="B243" t="s">
        <v>18</v>
      </c>
      <c r="C243">
        <v>8</v>
      </c>
      <c r="D243">
        <v>8</v>
      </c>
      <c r="E243">
        <v>353</v>
      </c>
      <c r="F243">
        <v>419</v>
      </c>
      <c r="G243">
        <v>-4.5</v>
      </c>
      <c r="H243">
        <v>-1.2</v>
      </c>
      <c r="I243">
        <v>-3.3</v>
      </c>
      <c r="J243">
        <v>0</v>
      </c>
      <c r="K243">
        <v>0</v>
      </c>
    </row>
    <row r="244" spans="1:11" x14ac:dyDescent="0.25">
      <c r="A244">
        <v>2010</v>
      </c>
      <c r="B244" t="s">
        <v>39</v>
      </c>
      <c r="C244">
        <v>6</v>
      </c>
      <c r="D244">
        <v>10</v>
      </c>
      <c r="E244">
        <v>390</v>
      </c>
      <c r="F244">
        <v>427</v>
      </c>
      <c r="G244">
        <v>-1.8</v>
      </c>
      <c r="H244">
        <v>1.8</v>
      </c>
      <c r="I244">
        <v>-3.7</v>
      </c>
      <c r="J244">
        <v>0</v>
      </c>
      <c r="K244">
        <v>0</v>
      </c>
    </row>
    <row r="245" spans="1:11" x14ac:dyDescent="0.25">
      <c r="A245">
        <v>2010</v>
      </c>
      <c r="B245" t="s">
        <v>37</v>
      </c>
      <c r="C245">
        <v>6</v>
      </c>
      <c r="D245">
        <v>10</v>
      </c>
      <c r="E245">
        <v>356</v>
      </c>
      <c r="F245">
        <v>339</v>
      </c>
      <c r="G245">
        <v>1</v>
      </c>
      <c r="H245">
        <v>-0.9</v>
      </c>
      <c r="I245">
        <v>1.9</v>
      </c>
      <c r="J245">
        <v>0</v>
      </c>
      <c r="K245">
        <v>0</v>
      </c>
    </row>
    <row r="246" spans="1:11" x14ac:dyDescent="0.25">
      <c r="A246">
        <v>2010</v>
      </c>
      <c r="B246" t="s">
        <v>31</v>
      </c>
      <c r="C246">
        <v>9</v>
      </c>
      <c r="D246">
        <v>7</v>
      </c>
      <c r="E246">
        <v>441</v>
      </c>
      <c r="F246">
        <v>322</v>
      </c>
      <c r="G246">
        <v>4.8</v>
      </c>
      <c r="H246">
        <v>3.2</v>
      </c>
      <c r="I246">
        <v>1.6</v>
      </c>
      <c r="J246">
        <v>0</v>
      </c>
      <c r="K246">
        <v>0</v>
      </c>
    </row>
    <row r="247" spans="1:11" x14ac:dyDescent="0.25">
      <c r="A247">
        <v>2010</v>
      </c>
      <c r="B247" t="s">
        <v>27</v>
      </c>
      <c r="C247">
        <v>8</v>
      </c>
      <c r="D247">
        <v>8</v>
      </c>
      <c r="E247">
        <v>410</v>
      </c>
      <c r="F247">
        <v>371</v>
      </c>
      <c r="G247">
        <v>0.2</v>
      </c>
      <c r="H247">
        <v>2.2999999999999998</v>
      </c>
      <c r="I247">
        <v>-2.2000000000000002</v>
      </c>
      <c r="J247">
        <v>0</v>
      </c>
      <c r="K247">
        <v>0</v>
      </c>
    </row>
    <row r="248" spans="1:11" x14ac:dyDescent="0.25">
      <c r="A248">
        <v>2010</v>
      </c>
      <c r="B248" t="s">
        <v>14</v>
      </c>
      <c r="C248">
        <v>4</v>
      </c>
      <c r="D248">
        <v>12</v>
      </c>
      <c r="E248">
        <v>344</v>
      </c>
      <c r="F248">
        <v>471</v>
      </c>
      <c r="G248">
        <v>-8.9</v>
      </c>
      <c r="H248">
        <v>-1.1000000000000001</v>
      </c>
      <c r="I248">
        <v>-7.8</v>
      </c>
      <c r="J248">
        <v>0</v>
      </c>
      <c r="K248">
        <v>0</v>
      </c>
    </row>
    <row r="249" spans="1:11" x14ac:dyDescent="0.25">
      <c r="A249">
        <v>2010</v>
      </c>
      <c r="B249" t="s">
        <v>24</v>
      </c>
      <c r="C249">
        <v>10</v>
      </c>
      <c r="D249">
        <v>6</v>
      </c>
      <c r="E249">
        <v>394</v>
      </c>
      <c r="F249">
        <v>347</v>
      </c>
      <c r="G249">
        <v>2.1</v>
      </c>
      <c r="H249">
        <v>1.7</v>
      </c>
      <c r="I249">
        <v>0.4</v>
      </c>
      <c r="J249">
        <v>0</v>
      </c>
      <c r="K249">
        <v>0</v>
      </c>
    </row>
    <row r="250" spans="1:11" x14ac:dyDescent="0.25">
      <c r="A250">
        <v>2010</v>
      </c>
      <c r="B250" t="s">
        <v>13</v>
      </c>
      <c r="C250">
        <v>6</v>
      </c>
      <c r="D250">
        <v>10</v>
      </c>
      <c r="E250">
        <v>394</v>
      </c>
      <c r="F250">
        <v>436</v>
      </c>
      <c r="G250">
        <v>-2.2000000000000002</v>
      </c>
      <c r="H250">
        <v>2.5</v>
      </c>
      <c r="I250">
        <v>-4.7</v>
      </c>
      <c r="J250">
        <v>0</v>
      </c>
      <c r="K250">
        <v>0</v>
      </c>
    </row>
    <row r="251" spans="1:11" x14ac:dyDescent="0.25">
      <c r="A251">
        <v>2010</v>
      </c>
      <c r="B251" t="s">
        <v>38</v>
      </c>
      <c r="C251">
        <v>6</v>
      </c>
      <c r="D251">
        <v>10</v>
      </c>
      <c r="E251">
        <v>302</v>
      </c>
      <c r="F251">
        <v>377</v>
      </c>
      <c r="G251">
        <v>-3.8</v>
      </c>
      <c r="H251">
        <v>-3.4</v>
      </c>
      <c r="I251">
        <v>-0.5</v>
      </c>
      <c r="J251">
        <v>0</v>
      </c>
      <c r="K251">
        <v>0</v>
      </c>
    </row>
    <row r="252" spans="1:11" x14ac:dyDescent="0.25">
      <c r="A252">
        <v>2010</v>
      </c>
      <c r="B252" t="s">
        <v>15</v>
      </c>
      <c r="C252">
        <v>6</v>
      </c>
      <c r="D252">
        <v>10</v>
      </c>
      <c r="E252">
        <v>362</v>
      </c>
      <c r="F252">
        <v>369</v>
      </c>
      <c r="G252">
        <v>1.9</v>
      </c>
      <c r="H252">
        <v>2.4</v>
      </c>
      <c r="I252">
        <v>-0.5</v>
      </c>
      <c r="J252">
        <v>0</v>
      </c>
      <c r="K252">
        <v>0</v>
      </c>
    </row>
    <row r="253" spans="1:11" x14ac:dyDescent="0.25">
      <c r="A253">
        <v>2010</v>
      </c>
      <c r="B253" t="s">
        <v>21</v>
      </c>
      <c r="C253">
        <v>6</v>
      </c>
      <c r="D253">
        <v>10</v>
      </c>
      <c r="E253">
        <v>281</v>
      </c>
      <c r="F253">
        <v>348</v>
      </c>
      <c r="G253">
        <v>-1.6</v>
      </c>
      <c r="H253">
        <v>-3.3</v>
      </c>
      <c r="I253">
        <v>1.7</v>
      </c>
      <c r="J253">
        <v>0</v>
      </c>
      <c r="K253">
        <v>0</v>
      </c>
    </row>
    <row r="254" spans="1:11" x14ac:dyDescent="0.25">
      <c r="A254">
        <v>2010</v>
      </c>
      <c r="B254" t="s">
        <v>36</v>
      </c>
      <c r="C254">
        <v>10</v>
      </c>
      <c r="D254">
        <v>6</v>
      </c>
      <c r="E254">
        <v>341</v>
      </c>
      <c r="F254">
        <v>318</v>
      </c>
      <c r="G254">
        <v>-0.6</v>
      </c>
      <c r="H254">
        <v>-1</v>
      </c>
      <c r="I254">
        <v>0.4</v>
      </c>
      <c r="J254">
        <v>0</v>
      </c>
      <c r="K254">
        <v>0</v>
      </c>
    </row>
    <row r="255" spans="1:11" x14ac:dyDescent="0.25">
      <c r="A255">
        <v>2010</v>
      </c>
      <c r="B255" t="s">
        <v>9</v>
      </c>
      <c r="C255">
        <v>2</v>
      </c>
      <c r="D255">
        <v>14</v>
      </c>
      <c r="E255">
        <v>196</v>
      </c>
      <c r="F255">
        <v>408</v>
      </c>
      <c r="G255">
        <v>-13.2</v>
      </c>
      <c r="H255">
        <v>-9.1</v>
      </c>
      <c r="I255">
        <v>-4.0999999999999996</v>
      </c>
      <c r="J255">
        <v>0</v>
      </c>
      <c r="K255">
        <v>0</v>
      </c>
    </row>
    <row r="256" spans="1:11" x14ac:dyDescent="0.25">
      <c r="A256">
        <v>2010</v>
      </c>
      <c r="B256" t="s">
        <v>32</v>
      </c>
      <c r="C256">
        <v>6</v>
      </c>
      <c r="D256">
        <v>10</v>
      </c>
      <c r="E256">
        <v>305</v>
      </c>
      <c r="F256">
        <v>346</v>
      </c>
      <c r="G256">
        <v>-5.8</v>
      </c>
      <c r="H256">
        <v>-4.7</v>
      </c>
      <c r="I256">
        <v>-1.1000000000000001</v>
      </c>
      <c r="J256">
        <v>0</v>
      </c>
      <c r="K256">
        <v>0</v>
      </c>
    </row>
    <row r="257" spans="1:11" x14ac:dyDescent="0.25">
      <c r="A257">
        <v>2010</v>
      </c>
      <c r="B257" t="s">
        <v>5</v>
      </c>
      <c r="C257">
        <v>5</v>
      </c>
      <c r="D257">
        <v>11</v>
      </c>
      <c r="E257">
        <v>289</v>
      </c>
      <c r="F257">
        <v>434</v>
      </c>
      <c r="G257">
        <v>-12.7</v>
      </c>
      <c r="H257">
        <v>-5.6</v>
      </c>
      <c r="I257">
        <v>-7.1</v>
      </c>
      <c r="J257">
        <v>0</v>
      </c>
      <c r="K257">
        <v>0</v>
      </c>
    </row>
    <row r="258" spans="1:11" x14ac:dyDescent="0.25">
      <c r="A258">
        <v>2011</v>
      </c>
      <c r="B258" t="s">
        <v>25</v>
      </c>
      <c r="C258">
        <v>8</v>
      </c>
      <c r="D258">
        <v>8</v>
      </c>
      <c r="E258">
        <v>377</v>
      </c>
      <c r="F258">
        <v>363</v>
      </c>
      <c r="G258">
        <v>0.9</v>
      </c>
      <c r="H258">
        <v>1.2</v>
      </c>
      <c r="I258">
        <v>-0.3</v>
      </c>
      <c r="J258">
        <v>0</v>
      </c>
      <c r="K258">
        <v>0</v>
      </c>
    </row>
    <row r="259" spans="1:11" x14ac:dyDescent="0.25">
      <c r="A259">
        <v>2011</v>
      </c>
      <c r="B259" t="s">
        <v>20</v>
      </c>
      <c r="C259">
        <v>6</v>
      </c>
      <c r="D259">
        <v>10</v>
      </c>
      <c r="E259">
        <v>329</v>
      </c>
      <c r="F259">
        <v>313</v>
      </c>
      <c r="G259">
        <v>0.9</v>
      </c>
      <c r="H259">
        <v>-2.2000000000000002</v>
      </c>
      <c r="I259">
        <v>3.2</v>
      </c>
      <c r="J259">
        <v>0</v>
      </c>
      <c r="K259">
        <v>0</v>
      </c>
    </row>
    <row r="260" spans="1:11" x14ac:dyDescent="0.25">
      <c r="A260">
        <v>2011</v>
      </c>
      <c r="B260" t="s">
        <v>8</v>
      </c>
      <c r="C260">
        <v>6</v>
      </c>
      <c r="D260">
        <v>10</v>
      </c>
      <c r="E260">
        <v>372</v>
      </c>
      <c r="F260">
        <v>434</v>
      </c>
      <c r="G260">
        <v>-3.4</v>
      </c>
      <c r="H260">
        <v>1.2</v>
      </c>
      <c r="I260">
        <v>-4.5</v>
      </c>
      <c r="J260">
        <v>0</v>
      </c>
      <c r="K260">
        <v>0</v>
      </c>
    </row>
    <row r="261" spans="1:11" x14ac:dyDescent="0.25">
      <c r="A261">
        <v>2011</v>
      </c>
      <c r="B261" t="s">
        <v>12</v>
      </c>
      <c r="C261">
        <v>4</v>
      </c>
      <c r="D261">
        <v>12</v>
      </c>
      <c r="E261">
        <v>218</v>
      </c>
      <c r="F261">
        <v>307</v>
      </c>
      <c r="G261">
        <v>-5.4</v>
      </c>
      <c r="H261">
        <v>-7.2</v>
      </c>
      <c r="I261">
        <v>1.8</v>
      </c>
      <c r="J261">
        <v>0</v>
      </c>
      <c r="K261">
        <v>0</v>
      </c>
    </row>
    <row r="262" spans="1:11" x14ac:dyDescent="0.25">
      <c r="A262">
        <v>2011</v>
      </c>
      <c r="B262" t="s">
        <v>37</v>
      </c>
      <c r="C262">
        <v>9</v>
      </c>
      <c r="D262">
        <v>7</v>
      </c>
      <c r="E262">
        <v>325</v>
      </c>
      <c r="F262">
        <v>317</v>
      </c>
      <c r="G262">
        <v>-1</v>
      </c>
      <c r="H262">
        <v>-2.2000000000000002</v>
      </c>
      <c r="I262">
        <v>1.2</v>
      </c>
      <c r="J262">
        <v>0</v>
      </c>
      <c r="K262">
        <v>0</v>
      </c>
    </row>
    <row r="263" spans="1:11" x14ac:dyDescent="0.25">
      <c r="A263">
        <v>2011</v>
      </c>
      <c r="B263" t="s">
        <v>18</v>
      </c>
      <c r="C263">
        <v>5</v>
      </c>
      <c r="D263">
        <v>11</v>
      </c>
      <c r="E263">
        <v>243</v>
      </c>
      <c r="F263">
        <v>329</v>
      </c>
      <c r="G263">
        <v>-5.6</v>
      </c>
      <c r="H263">
        <v>-7.1</v>
      </c>
      <c r="I263">
        <v>1.4</v>
      </c>
      <c r="J263">
        <v>0</v>
      </c>
      <c r="K263">
        <v>0</v>
      </c>
    </row>
    <row r="264" spans="1:11" x14ac:dyDescent="0.25">
      <c r="A264">
        <v>2011</v>
      </c>
      <c r="B264" t="s">
        <v>17</v>
      </c>
      <c r="C264">
        <v>2</v>
      </c>
      <c r="D264">
        <v>14</v>
      </c>
      <c r="E264">
        <v>243</v>
      </c>
      <c r="F264">
        <v>430</v>
      </c>
      <c r="G264">
        <v>-11.3</v>
      </c>
      <c r="H264">
        <v>-6</v>
      </c>
      <c r="I264">
        <v>-5.3</v>
      </c>
      <c r="J264">
        <v>0</v>
      </c>
      <c r="K264">
        <v>0</v>
      </c>
    </row>
    <row r="265" spans="1:11" x14ac:dyDescent="0.25">
      <c r="A265">
        <v>2011</v>
      </c>
      <c r="B265" t="s">
        <v>31</v>
      </c>
      <c r="C265">
        <v>8</v>
      </c>
      <c r="D265">
        <v>8</v>
      </c>
      <c r="E265">
        <v>406</v>
      </c>
      <c r="F265">
        <v>377</v>
      </c>
      <c r="G265">
        <v>0.9</v>
      </c>
      <c r="H265">
        <v>2.7</v>
      </c>
      <c r="I265">
        <v>-1.8</v>
      </c>
      <c r="J265">
        <v>0</v>
      </c>
      <c r="K265">
        <v>0</v>
      </c>
    </row>
    <row r="266" spans="1:11" x14ac:dyDescent="0.25">
      <c r="A266">
        <v>2011</v>
      </c>
      <c r="B266" t="s">
        <v>27</v>
      </c>
      <c r="C266">
        <v>8</v>
      </c>
      <c r="D266">
        <v>8</v>
      </c>
      <c r="E266">
        <v>359</v>
      </c>
      <c r="F266">
        <v>433</v>
      </c>
      <c r="G266">
        <v>-4.9000000000000004</v>
      </c>
      <c r="H266">
        <v>0.2</v>
      </c>
      <c r="I266">
        <v>-5.0999999999999996</v>
      </c>
      <c r="J266">
        <v>0</v>
      </c>
      <c r="K266">
        <v>0</v>
      </c>
    </row>
    <row r="267" spans="1:11" x14ac:dyDescent="0.25">
      <c r="A267">
        <v>2011</v>
      </c>
      <c r="B267" t="s">
        <v>28</v>
      </c>
      <c r="C267">
        <v>8</v>
      </c>
      <c r="D267">
        <v>8</v>
      </c>
      <c r="E267">
        <v>396</v>
      </c>
      <c r="F267">
        <v>328</v>
      </c>
      <c r="G267">
        <v>4.7</v>
      </c>
      <c r="H267">
        <v>3.1</v>
      </c>
      <c r="I267">
        <v>1.7</v>
      </c>
      <c r="J267">
        <v>0</v>
      </c>
      <c r="K267">
        <v>0</v>
      </c>
    </row>
    <row r="268" spans="1:11" x14ac:dyDescent="0.25">
      <c r="A268">
        <v>2011</v>
      </c>
      <c r="B268" t="s">
        <v>13</v>
      </c>
      <c r="C268">
        <v>8</v>
      </c>
      <c r="D268">
        <v>8</v>
      </c>
      <c r="E268">
        <v>369</v>
      </c>
      <c r="F268">
        <v>347</v>
      </c>
      <c r="G268">
        <v>1.6</v>
      </c>
      <c r="H268">
        <v>0.7</v>
      </c>
      <c r="I268">
        <v>0.9</v>
      </c>
      <c r="J268">
        <v>0</v>
      </c>
      <c r="K268">
        <v>0</v>
      </c>
    </row>
    <row r="269" spans="1:11" x14ac:dyDescent="0.25">
      <c r="A269">
        <v>2011</v>
      </c>
      <c r="B269" t="s">
        <v>38</v>
      </c>
      <c r="C269">
        <v>5</v>
      </c>
      <c r="D269">
        <v>11</v>
      </c>
      <c r="E269">
        <v>288</v>
      </c>
      <c r="F269">
        <v>367</v>
      </c>
      <c r="G269">
        <v>-4.0999999999999996</v>
      </c>
      <c r="H269">
        <v>-4.3</v>
      </c>
      <c r="I269">
        <v>0.2</v>
      </c>
      <c r="J269">
        <v>0</v>
      </c>
      <c r="K269">
        <v>0</v>
      </c>
    </row>
    <row r="270" spans="1:11" x14ac:dyDescent="0.25">
      <c r="A270">
        <v>2011</v>
      </c>
      <c r="B270" t="s">
        <v>10</v>
      </c>
      <c r="C270">
        <v>8</v>
      </c>
      <c r="D270">
        <v>8</v>
      </c>
      <c r="E270">
        <v>353</v>
      </c>
      <c r="F270">
        <v>341</v>
      </c>
      <c r="G270">
        <v>1.7</v>
      </c>
      <c r="H270">
        <v>-1.5</v>
      </c>
      <c r="I270">
        <v>3.1</v>
      </c>
      <c r="J270">
        <v>0</v>
      </c>
      <c r="K270">
        <v>0</v>
      </c>
    </row>
    <row r="271" spans="1:11" x14ac:dyDescent="0.25">
      <c r="A271">
        <v>2011</v>
      </c>
      <c r="B271" t="s">
        <v>21</v>
      </c>
      <c r="C271">
        <v>3</v>
      </c>
      <c r="D271">
        <v>13</v>
      </c>
      <c r="E271">
        <v>340</v>
      </c>
      <c r="F271">
        <v>449</v>
      </c>
      <c r="G271">
        <v>-5.7</v>
      </c>
      <c r="H271">
        <v>-1.6</v>
      </c>
      <c r="I271">
        <v>-4.0999999999999996</v>
      </c>
      <c r="J271">
        <v>0</v>
      </c>
      <c r="K271">
        <v>0</v>
      </c>
    </row>
    <row r="272" spans="1:11" x14ac:dyDescent="0.25">
      <c r="A272">
        <v>2011</v>
      </c>
      <c r="B272" t="s">
        <v>9</v>
      </c>
      <c r="C272">
        <v>6</v>
      </c>
      <c r="D272">
        <v>10</v>
      </c>
      <c r="E272">
        <v>406</v>
      </c>
      <c r="F272">
        <v>429</v>
      </c>
      <c r="G272">
        <v>-1.3</v>
      </c>
      <c r="H272">
        <v>2.6</v>
      </c>
      <c r="I272">
        <v>-3.9</v>
      </c>
      <c r="J272">
        <v>0</v>
      </c>
      <c r="K272">
        <v>0</v>
      </c>
    </row>
    <row r="273" spans="1:11" x14ac:dyDescent="0.25">
      <c r="A273">
        <v>2011</v>
      </c>
      <c r="B273" t="s">
        <v>36</v>
      </c>
      <c r="C273">
        <v>4</v>
      </c>
      <c r="D273">
        <v>12</v>
      </c>
      <c r="E273">
        <v>287</v>
      </c>
      <c r="F273">
        <v>494</v>
      </c>
      <c r="G273">
        <v>-10.6</v>
      </c>
      <c r="H273">
        <v>-4</v>
      </c>
      <c r="I273">
        <v>-6.6</v>
      </c>
      <c r="J273">
        <v>0</v>
      </c>
      <c r="K273">
        <v>0</v>
      </c>
    </row>
    <row r="274" spans="1:11" x14ac:dyDescent="0.25">
      <c r="A274">
        <v>2011</v>
      </c>
      <c r="B274" t="s">
        <v>5</v>
      </c>
      <c r="C274">
        <v>8</v>
      </c>
      <c r="D274">
        <v>8</v>
      </c>
      <c r="E274">
        <v>312</v>
      </c>
      <c r="F274">
        <v>348</v>
      </c>
      <c r="G274">
        <v>-2.2000000000000002</v>
      </c>
      <c r="H274">
        <v>-1.7</v>
      </c>
      <c r="I274">
        <v>-0.5</v>
      </c>
      <c r="J274">
        <v>0</v>
      </c>
      <c r="K274">
        <v>0</v>
      </c>
    </row>
    <row r="275" spans="1:11" x14ac:dyDescent="0.25">
      <c r="A275">
        <v>2011</v>
      </c>
      <c r="B275" t="s">
        <v>35</v>
      </c>
      <c r="C275">
        <v>2</v>
      </c>
      <c r="D275">
        <v>14</v>
      </c>
      <c r="E275">
        <v>193</v>
      </c>
      <c r="F275">
        <v>407</v>
      </c>
      <c r="G275">
        <v>-10.4</v>
      </c>
      <c r="H275">
        <v>-8.4</v>
      </c>
      <c r="I275">
        <v>-2.1</v>
      </c>
      <c r="J275">
        <v>0</v>
      </c>
      <c r="K275">
        <v>0</v>
      </c>
    </row>
    <row r="276" spans="1:11" x14ac:dyDescent="0.25">
      <c r="A276">
        <v>2012</v>
      </c>
      <c r="B276" t="s">
        <v>25</v>
      </c>
      <c r="C276">
        <v>6</v>
      </c>
      <c r="D276">
        <v>10</v>
      </c>
      <c r="E276">
        <v>281</v>
      </c>
      <c r="F276">
        <v>375</v>
      </c>
      <c r="G276">
        <v>-5.9</v>
      </c>
      <c r="H276">
        <v>-5.0999999999999996</v>
      </c>
      <c r="I276">
        <v>-0.9</v>
      </c>
      <c r="J276">
        <v>0</v>
      </c>
      <c r="K276">
        <v>0</v>
      </c>
    </row>
    <row r="277" spans="1:11" x14ac:dyDescent="0.25">
      <c r="A277">
        <v>2012</v>
      </c>
      <c r="B277" t="s">
        <v>8</v>
      </c>
      <c r="C277">
        <v>6</v>
      </c>
      <c r="D277">
        <v>10</v>
      </c>
      <c r="E277">
        <v>344</v>
      </c>
      <c r="F277">
        <v>435</v>
      </c>
      <c r="G277">
        <v>-6.7</v>
      </c>
      <c r="H277">
        <v>-0.9</v>
      </c>
      <c r="I277">
        <v>-5.8</v>
      </c>
      <c r="J277">
        <v>0</v>
      </c>
      <c r="K277">
        <v>0</v>
      </c>
    </row>
    <row r="278" spans="1:11" x14ac:dyDescent="0.25">
      <c r="A278">
        <v>2012</v>
      </c>
      <c r="B278" t="s">
        <v>29</v>
      </c>
      <c r="C278">
        <v>8</v>
      </c>
      <c r="D278">
        <v>8</v>
      </c>
      <c r="E278">
        <v>336</v>
      </c>
      <c r="F278">
        <v>314</v>
      </c>
      <c r="G278">
        <v>-0.7</v>
      </c>
      <c r="H278">
        <v>-2.8</v>
      </c>
      <c r="I278">
        <v>2.1</v>
      </c>
      <c r="J278">
        <v>0</v>
      </c>
      <c r="K278">
        <v>0</v>
      </c>
    </row>
    <row r="279" spans="1:11" x14ac:dyDescent="0.25">
      <c r="A279">
        <v>2012</v>
      </c>
      <c r="B279" t="s">
        <v>12</v>
      </c>
      <c r="C279">
        <v>5</v>
      </c>
      <c r="D279">
        <v>11</v>
      </c>
      <c r="E279">
        <v>302</v>
      </c>
      <c r="F279">
        <v>368</v>
      </c>
      <c r="G279">
        <v>-5.3</v>
      </c>
      <c r="H279">
        <v>-4.5999999999999996</v>
      </c>
      <c r="I279">
        <v>-0.7</v>
      </c>
      <c r="J279">
        <v>0</v>
      </c>
      <c r="K279">
        <v>0</v>
      </c>
    </row>
    <row r="280" spans="1:11" x14ac:dyDescent="0.25">
      <c r="A280">
        <v>2012</v>
      </c>
      <c r="B280" t="s">
        <v>37</v>
      </c>
      <c r="C280">
        <v>6</v>
      </c>
      <c r="D280">
        <v>10</v>
      </c>
      <c r="E280">
        <v>330</v>
      </c>
      <c r="F280">
        <v>471</v>
      </c>
      <c r="G280">
        <v>-10</v>
      </c>
      <c r="H280">
        <v>-2.6</v>
      </c>
      <c r="I280">
        <v>-7.4</v>
      </c>
      <c r="J280">
        <v>0</v>
      </c>
      <c r="K280">
        <v>0</v>
      </c>
    </row>
    <row r="281" spans="1:11" x14ac:dyDescent="0.25">
      <c r="A281">
        <v>2012</v>
      </c>
      <c r="B281" t="s">
        <v>18</v>
      </c>
      <c r="C281">
        <v>2</v>
      </c>
      <c r="D281">
        <v>14</v>
      </c>
      <c r="E281">
        <v>255</v>
      </c>
      <c r="F281">
        <v>444</v>
      </c>
      <c r="G281">
        <v>-13</v>
      </c>
      <c r="H281">
        <v>-8.1</v>
      </c>
      <c r="I281">
        <v>-4.9000000000000004</v>
      </c>
      <c r="J281">
        <v>0</v>
      </c>
      <c r="K281">
        <v>0</v>
      </c>
    </row>
    <row r="282" spans="1:11" x14ac:dyDescent="0.25">
      <c r="A282">
        <v>2012</v>
      </c>
      <c r="B282" t="s">
        <v>27</v>
      </c>
      <c r="C282">
        <v>4</v>
      </c>
      <c r="D282">
        <v>12</v>
      </c>
      <c r="E282">
        <v>290</v>
      </c>
      <c r="F282">
        <v>443</v>
      </c>
      <c r="G282">
        <v>-10.8</v>
      </c>
      <c r="H282">
        <v>-4.5999999999999996</v>
      </c>
      <c r="I282">
        <v>-6.2</v>
      </c>
      <c r="J282">
        <v>0</v>
      </c>
      <c r="K282">
        <v>0</v>
      </c>
    </row>
    <row r="283" spans="1:11" x14ac:dyDescent="0.25">
      <c r="A283">
        <v>2012</v>
      </c>
      <c r="B283" t="s">
        <v>19</v>
      </c>
      <c r="C283">
        <v>2</v>
      </c>
      <c r="D283">
        <v>14</v>
      </c>
      <c r="E283">
        <v>211</v>
      </c>
      <c r="F283">
        <v>425</v>
      </c>
      <c r="G283">
        <v>-14</v>
      </c>
      <c r="H283">
        <v>-10.3</v>
      </c>
      <c r="I283">
        <v>-3.7</v>
      </c>
      <c r="J283">
        <v>0</v>
      </c>
      <c r="K283">
        <v>0</v>
      </c>
    </row>
    <row r="284" spans="1:11" x14ac:dyDescent="0.25">
      <c r="A284">
        <v>2012</v>
      </c>
      <c r="B284" t="s">
        <v>24</v>
      </c>
      <c r="C284">
        <v>9</v>
      </c>
      <c r="D284">
        <v>7</v>
      </c>
      <c r="E284">
        <v>429</v>
      </c>
      <c r="F284">
        <v>344</v>
      </c>
      <c r="G284">
        <v>6.2</v>
      </c>
      <c r="H284">
        <v>4</v>
      </c>
      <c r="I284">
        <v>2.2000000000000002</v>
      </c>
      <c r="J284">
        <v>0</v>
      </c>
      <c r="K284">
        <v>0</v>
      </c>
    </row>
    <row r="285" spans="1:11" x14ac:dyDescent="0.25">
      <c r="A285">
        <v>2012</v>
      </c>
      <c r="B285" t="s">
        <v>13</v>
      </c>
      <c r="C285">
        <v>8</v>
      </c>
      <c r="D285">
        <v>8</v>
      </c>
      <c r="E285">
        <v>376</v>
      </c>
      <c r="F285">
        <v>400</v>
      </c>
      <c r="G285">
        <v>0.3</v>
      </c>
      <c r="H285">
        <v>1.4</v>
      </c>
      <c r="I285">
        <v>-1.2</v>
      </c>
      <c r="J285">
        <v>0</v>
      </c>
      <c r="K285">
        <v>0</v>
      </c>
    </row>
    <row r="286" spans="1:11" x14ac:dyDescent="0.25">
      <c r="A286">
        <v>2012</v>
      </c>
      <c r="B286" t="s">
        <v>28</v>
      </c>
      <c r="C286">
        <v>4</v>
      </c>
      <c r="D286">
        <v>12</v>
      </c>
      <c r="E286">
        <v>280</v>
      </c>
      <c r="F286">
        <v>444</v>
      </c>
      <c r="G286">
        <v>-8.9</v>
      </c>
      <c r="H286">
        <v>-5.3</v>
      </c>
      <c r="I286">
        <v>-3.6</v>
      </c>
      <c r="J286">
        <v>0</v>
      </c>
      <c r="K286">
        <v>0</v>
      </c>
    </row>
    <row r="287" spans="1:11" x14ac:dyDescent="0.25">
      <c r="A287">
        <v>2012</v>
      </c>
      <c r="B287" t="s">
        <v>10</v>
      </c>
      <c r="C287">
        <v>10</v>
      </c>
      <c r="D287">
        <v>6</v>
      </c>
      <c r="E287">
        <v>375</v>
      </c>
      <c r="F287">
        <v>277</v>
      </c>
      <c r="G287">
        <v>6.9</v>
      </c>
      <c r="H287">
        <v>1</v>
      </c>
      <c r="I287">
        <v>6</v>
      </c>
      <c r="J287">
        <v>0</v>
      </c>
      <c r="K287">
        <v>0</v>
      </c>
    </row>
    <row r="288" spans="1:11" x14ac:dyDescent="0.25">
      <c r="A288">
        <v>2012</v>
      </c>
      <c r="B288" t="s">
        <v>15</v>
      </c>
      <c r="C288">
        <v>4</v>
      </c>
      <c r="D288">
        <v>12</v>
      </c>
      <c r="E288">
        <v>372</v>
      </c>
      <c r="F288">
        <v>437</v>
      </c>
      <c r="G288">
        <v>-2.2999999999999998</v>
      </c>
      <c r="H288">
        <v>2.1</v>
      </c>
      <c r="I288">
        <v>-4.4000000000000004</v>
      </c>
      <c r="J288">
        <v>0</v>
      </c>
      <c r="K288">
        <v>0</v>
      </c>
    </row>
    <row r="289" spans="1:11" x14ac:dyDescent="0.25">
      <c r="A289">
        <v>2012</v>
      </c>
      <c r="B289" t="s">
        <v>5</v>
      </c>
      <c r="C289">
        <v>5</v>
      </c>
      <c r="D289">
        <v>11</v>
      </c>
      <c r="E289">
        <v>250</v>
      </c>
      <c r="F289">
        <v>357</v>
      </c>
      <c r="G289">
        <v>-3.2</v>
      </c>
      <c r="H289">
        <v>-4.8</v>
      </c>
      <c r="I289">
        <v>1.6</v>
      </c>
      <c r="J289">
        <v>0</v>
      </c>
      <c r="K289">
        <v>0</v>
      </c>
    </row>
    <row r="290" spans="1:11" x14ac:dyDescent="0.25">
      <c r="A290">
        <v>2013</v>
      </c>
      <c r="B290" t="s">
        <v>25</v>
      </c>
      <c r="C290">
        <v>8</v>
      </c>
      <c r="D290">
        <v>8</v>
      </c>
      <c r="E290">
        <v>290</v>
      </c>
      <c r="F290">
        <v>387</v>
      </c>
      <c r="G290">
        <v>-6.1</v>
      </c>
      <c r="H290">
        <v>-4.7</v>
      </c>
      <c r="I290">
        <v>-1.4</v>
      </c>
      <c r="J290">
        <v>0</v>
      </c>
      <c r="K290">
        <v>0</v>
      </c>
    </row>
    <row r="291" spans="1:11" x14ac:dyDescent="0.25">
      <c r="A291">
        <v>2013</v>
      </c>
      <c r="B291" t="s">
        <v>20</v>
      </c>
      <c r="C291">
        <v>8</v>
      </c>
      <c r="D291">
        <v>8</v>
      </c>
      <c r="E291">
        <v>317</v>
      </c>
      <c r="F291">
        <v>335</v>
      </c>
      <c r="G291">
        <v>-0.8</v>
      </c>
      <c r="H291">
        <v>-2.9</v>
      </c>
      <c r="I291">
        <v>2.1</v>
      </c>
      <c r="J291">
        <v>0</v>
      </c>
      <c r="K291">
        <v>0</v>
      </c>
    </row>
    <row r="292" spans="1:11" x14ac:dyDescent="0.25">
      <c r="A292">
        <v>2013</v>
      </c>
      <c r="B292" t="s">
        <v>8</v>
      </c>
      <c r="C292">
        <v>6</v>
      </c>
      <c r="D292">
        <v>10</v>
      </c>
      <c r="E292">
        <v>339</v>
      </c>
      <c r="F292">
        <v>388</v>
      </c>
      <c r="G292">
        <v>-3.2</v>
      </c>
      <c r="H292">
        <v>-1.3</v>
      </c>
      <c r="I292">
        <v>-1.9</v>
      </c>
      <c r="J292">
        <v>0</v>
      </c>
      <c r="K292">
        <v>0</v>
      </c>
    </row>
    <row r="293" spans="1:11" x14ac:dyDescent="0.25">
      <c r="A293">
        <v>2013</v>
      </c>
      <c r="B293" t="s">
        <v>29</v>
      </c>
      <c r="C293">
        <v>8</v>
      </c>
      <c r="D293">
        <v>8</v>
      </c>
      <c r="E293">
        <v>379</v>
      </c>
      <c r="F293">
        <v>370</v>
      </c>
      <c r="G293">
        <v>-2</v>
      </c>
      <c r="H293">
        <v>-0.9</v>
      </c>
      <c r="I293">
        <v>-1</v>
      </c>
      <c r="J293">
        <v>0</v>
      </c>
      <c r="K293">
        <v>0</v>
      </c>
    </row>
    <row r="294" spans="1:11" x14ac:dyDescent="0.25">
      <c r="A294">
        <v>2013</v>
      </c>
      <c r="B294" t="s">
        <v>7</v>
      </c>
      <c r="C294">
        <v>8</v>
      </c>
      <c r="D294">
        <v>8</v>
      </c>
      <c r="E294">
        <v>320</v>
      </c>
      <c r="F294">
        <v>352</v>
      </c>
      <c r="G294">
        <v>-3.5</v>
      </c>
      <c r="H294">
        <v>-5</v>
      </c>
      <c r="I294">
        <v>1.4</v>
      </c>
      <c r="J294">
        <v>0</v>
      </c>
      <c r="K294">
        <v>0</v>
      </c>
    </row>
    <row r="295" spans="1:11" x14ac:dyDescent="0.25">
      <c r="A295">
        <v>2013</v>
      </c>
      <c r="B295" t="s">
        <v>12</v>
      </c>
      <c r="C295">
        <v>4</v>
      </c>
      <c r="D295">
        <v>12</v>
      </c>
      <c r="E295">
        <v>308</v>
      </c>
      <c r="F295">
        <v>406</v>
      </c>
      <c r="G295">
        <v>-7.7</v>
      </c>
      <c r="H295">
        <v>-4.8</v>
      </c>
      <c r="I295">
        <v>-2.9</v>
      </c>
      <c r="J295">
        <v>0</v>
      </c>
      <c r="K295">
        <v>0</v>
      </c>
    </row>
    <row r="296" spans="1:11" x14ac:dyDescent="0.25">
      <c r="A296">
        <v>2013</v>
      </c>
      <c r="B296" t="s">
        <v>18</v>
      </c>
      <c r="C296">
        <v>4</v>
      </c>
      <c r="D296">
        <v>12</v>
      </c>
      <c r="E296">
        <v>247</v>
      </c>
      <c r="F296">
        <v>449</v>
      </c>
      <c r="G296">
        <v>-11.1</v>
      </c>
      <c r="H296">
        <v>-7.1</v>
      </c>
      <c r="I296">
        <v>-4</v>
      </c>
      <c r="J296">
        <v>0</v>
      </c>
      <c r="K296">
        <v>0</v>
      </c>
    </row>
    <row r="297" spans="1:11" x14ac:dyDescent="0.25">
      <c r="A297">
        <v>2013</v>
      </c>
      <c r="B297" t="s">
        <v>39</v>
      </c>
      <c r="C297">
        <v>2</v>
      </c>
      <c r="D297">
        <v>14</v>
      </c>
      <c r="E297">
        <v>276</v>
      </c>
      <c r="F297">
        <v>428</v>
      </c>
      <c r="G297">
        <v>-7.6</v>
      </c>
      <c r="H297">
        <v>-5</v>
      </c>
      <c r="I297">
        <v>-2.6</v>
      </c>
      <c r="J297">
        <v>0</v>
      </c>
      <c r="K297">
        <v>0</v>
      </c>
    </row>
    <row r="298" spans="1:11" x14ac:dyDescent="0.25">
      <c r="A298">
        <v>2013</v>
      </c>
      <c r="B298" t="s">
        <v>27</v>
      </c>
      <c r="C298">
        <v>4</v>
      </c>
      <c r="D298">
        <v>12</v>
      </c>
      <c r="E298">
        <v>322</v>
      </c>
      <c r="F298">
        <v>453</v>
      </c>
      <c r="G298">
        <v>-8</v>
      </c>
      <c r="H298">
        <v>-3.8</v>
      </c>
      <c r="I298">
        <v>-4.2</v>
      </c>
      <c r="J298">
        <v>0</v>
      </c>
      <c r="K298">
        <v>0</v>
      </c>
    </row>
    <row r="299" spans="1:11" x14ac:dyDescent="0.25">
      <c r="A299">
        <v>2013</v>
      </c>
      <c r="B299" t="s">
        <v>13</v>
      </c>
      <c r="C299">
        <v>8</v>
      </c>
      <c r="D299">
        <v>8</v>
      </c>
      <c r="E299">
        <v>439</v>
      </c>
      <c r="F299">
        <v>432</v>
      </c>
      <c r="G299">
        <v>-0.7</v>
      </c>
      <c r="H299">
        <v>2.7</v>
      </c>
      <c r="I299">
        <v>-3.4</v>
      </c>
      <c r="J299">
        <v>0</v>
      </c>
      <c r="K299">
        <v>0</v>
      </c>
    </row>
    <row r="300" spans="1:11" x14ac:dyDescent="0.25">
      <c r="A300">
        <v>2013</v>
      </c>
      <c r="B300" t="s">
        <v>38</v>
      </c>
      <c r="C300">
        <v>3</v>
      </c>
      <c r="D300">
        <v>13</v>
      </c>
      <c r="E300">
        <v>334</v>
      </c>
      <c r="F300">
        <v>478</v>
      </c>
      <c r="G300">
        <v>-9.3000000000000007</v>
      </c>
      <c r="H300">
        <v>-3.9</v>
      </c>
      <c r="I300">
        <v>-5.4</v>
      </c>
      <c r="J300">
        <v>0</v>
      </c>
      <c r="K300">
        <v>0</v>
      </c>
    </row>
    <row r="301" spans="1:11" x14ac:dyDescent="0.25">
      <c r="A301">
        <v>2013</v>
      </c>
      <c r="B301" t="s">
        <v>10</v>
      </c>
      <c r="C301">
        <v>8</v>
      </c>
      <c r="D301">
        <v>8</v>
      </c>
      <c r="E301">
        <v>445</v>
      </c>
      <c r="F301">
        <v>478</v>
      </c>
      <c r="G301">
        <v>-4.0999999999999996</v>
      </c>
      <c r="H301">
        <v>3</v>
      </c>
      <c r="I301">
        <v>-7.1</v>
      </c>
      <c r="J301">
        <v>0</v>
      </c>
      <c r="K301">
        <v>0</v>
      </c>
    </row>
    <row r="302" spans="1:11" x14ac:dyDescent="0.25">
      <c r="A302">
        <v>2013</v>
      </c>
      <c r="B302" t="s">
        <v>21</v>
      </c>
      <c r="C302">
        <v>5</v>
      </c>
      <c r="D302">
        <v>10</v>
      </c>
      <c r="E302">
        <v>391</v>
      </c>
      <c r="F302">
        <v>480</v>
      </c>
      <c r="G302">
        <v>-6.6</v>
      </c>
      <c r="H302">
        <v>0.2</v>
      </c>
      <c r="I302">
        <v>-6.9</v>
      </c>
      <c r="J302">
        <v>0</v>
      </c>
      <c r="K302">
        <v>0</v>
      </c>
    </row>
    <row r="303" spans="1:11" x14ac:dyDescent="0.25">
      <c r="A303">
        <v>2013</v>
      </c>
      <c r="B303" t="s">
        <v>6</v>
      </c>
      <c r="C303">
        <v>4</v>
      </c>
      <c r="D303">
        <v>12</v>
      </c>
      <c r="E303">
        <v>353</v>
      </c>
      <c r="F303">
        <v>443</v>
      </c>
      <c r="G303">
        <v>-2.8</v>
      </c>
      <c r="H303">
        <v>1.2</v>
      </c>
      <c r="I303">
        <v>-3.9</v>
      </c>
      <c r="J303">
        <v>0</v>
      </c>
      <c r="K303">
        <v>0</v>
      </c>
    </row>
    <row r="304" spans="1:11" x14ac:dyDescent="0.25">
      <c r="A304">
        <v>2013</v>
      </c>
      <c r="B304" t="s">
        <v>36</v>
      </c>
      <c r="C304">
        <v>4</v>
      </c>
      <c r="D304">
        <v>12</v>
      </c>
      <c r="E304">
        <v>288</v>
      </c>
      <c r="F304">
        <v>389</v>
      </c>
      <c r="G304">
        <v>-2.7</v>
      </c>
      <c r="H304">
        <v>-2.9</v>
      </c>
      <c r="I304">
        <v>0.3</v>
      </c>
      <c r="J304">
        <v>0</v>
      </c>
      <c r="K304">
        <v>0</v>
      </c>
    </row>
    <row r="305" spans="1:11" x14ac:dyDescent="0.25">
      <c r="A305">
        <v>2013</v>
      </c>
      <c r="B305" t="s">
        <v>5</v>
      </c>
      <c r="C305">
        <v>10</v>
      </c>
      <c r="D305">
        <v>6</v>
      </c>
      <c r="E305">
        <v>379</v>
      </c>
      <c r="F305">
        <v>324</v>
      </c>
      <c r="G305">
        <v>6.4</v>
      </c>
      <c r="H305">
        <v>2.7</v>
      </c>
      <c r="I305">
        <v>3.7</v>
      </c>
      <c r="J305">
        <v>0</v>
      </c>
      <c r="K305">
        <v>0</v>
      </c>
    </row>
    <row r="306" spans="1:11" x14ac:dyDescent="0.25">
      <c r="A306">
        <v>2014</v>
      </c>
      <c r="B306" t="s">
        <v>8</v>
      </c>
      <c r="C306">
        <v>9</v>
      </c>
      <c r="D306">
        <v>7</v>
      </c>
      <c r="E306">
        <v>343</v>
      </c>
      <c r="F306">
        <v>289</v>
      </c>
      <c r="G306">
        <v>4.9000000000000004</v>
      </c>
      <c r="H306">
        <v>-0.4</v>
      </c>
      <c r="I306">
        <v>5.3</v>
      </c>
      <c r="J306">
        <v>0</v>
      </c>
      <c r="K306">
        <v>0</v>
      </c>
    </row>
    <row r="307" spans="1:11" x14ac:dyDescent="0.25">
      <c r="A307">
        <v>2014</v>
      </c>
      <c r="B307" t="s">
        <v>20</v>
      </c>
      <c r="C307">
        <v>8</v>
      </c>
      <c r="D307">
        <v>8</v>
      </c>
      <c r="E307">
        <v>388</v>
      </c>
      <c r="F307">
        <v>373</v>
      </c>
      <c r="G307">
        <v>2.6</v>
      </c>
      <c r="H307">
        <v>2.9</v>
      </c>
      <c r="I307">
        <v>-0.4</v>
      </c>
      <c r="J307">
        <v>0</v>
      </c>
      <c r="K307">
        <v>0</v>
      </c>
    </row>
    <row r="308" spans="1:11" x14ac:dyDescent="0.25">
      <c r="A308">
        <v>2014</v>
      </c>
      <c r="B308" t="s">
        <v>25</v>
      </c>
      <c r="C308">
        <v>4</v>
      </c>
      <c r="D308">
        <v>12</v>
      </c>
      <c r="E308">
        <v>283</v>
      </c>
      <c r="F308">
        <v>401</v>
      </c>
      <c r="G308">
        <v>-5</v>
      </c>
      <c r="H308">
        <v>-4</v>
      </c>
      <c r="I308">
        <v>-1</v>
      </c>
      <c r="J308">
        <v>0</v>
      </c>
      <c r="K308">
        <v>0</v>
      </c>
    </row>
    <row r="309" spans="1:11" x14ac:dyDescent="0.25">
      <c r="A309">
        <v>2014</v>
      </c>
      <c r="B309" t="s">
        <v>39</v>
      </c>
      <c r="C309">
        <v>9</v>
      </c>
      <c r="D309">
        <v>7</v>
      </c>
      <c r="E309">
        <v>372</v>
      </c>
      <c r="F309">
        <v>307</v>
      </c>
      <c r="G309">
        <v>1.7</v>
      </c>
      <c r="H309">
        <v>-0.8</v>
      </c>
      <c r="I309">
        <v>2.5</v>
      </c>
      <c r="J309">
        <v>0</v>
      </c>
      <c r="K309">
        <v>0</v>
      </c>
    </row>
    <row r="310" spans="1:11" x14ac:dyDescent="0.25">
      <c r="A310">
        <v>2014</v>
      </c>
      <c r="B310" t="s">
        <v>18</v>
      </c>
      <c r="C310">
        <v>3</v>
      </c>
      <c r="D310">
        <v>13</v>
      </c>
      <c r="E310">
        <v>249</v>
      </c>
      <c r="F310">
        <v>412</v>
      </c>
      <c r="G310">
        <v>-10.5</v>
      </c>
      <c r="H310">
        <v>-7.8</v>
      </c>
      <c r="I310">
        <v>-2.7</v>
      </c>
      <c r="J310">
        <v>0</v>
      </c>
      <c r="K310">
        <v>0</v>
      </c>
    </row>
    <row r="311" spans="1:11" x14ac:dyDescent="0.25">
      <c r="A311">
        <v>2014</v>
      </c>
      <c r="B311" t="s">
        <v>37</v>
      </c>
      <c r="C311">
        <v>2</v>
      </c>
      <c r="D311">
        <v>14</v>
      </c>
      <c r="E311">
        <v>254</v>
      </c>
      <c r="F311">
        <v>438</v>
      </c>
      <c r="G311">
        <v>-11.8</v>
      </c>
      <c r="H311">
        <v>-7</v>
      </c>
      <c r="I311">
        <v>-4.9000000000000004</v>
      </c>
      <c r="J311">
        <v>0</v>
      </c>
      <c r="K311">
        <v>0</v>
      </c>
    </row>
    <row r="312" spans="1:11" x14ac:dyDescent="0.25">
      <c r="A312">
        <v>2014</v>
      </c>
      <c r="B312" t="s">
        <v>31</v>
      </c>
      <c r="C312">
        <v>9</v>
      </c>
      <c r="D312">
        <v>7</v>
      </c>
      <c r="E312">
        <v>348</v>
      </c>
      <c r="F312">
        <v>348</v>
      </c>
      <c r="G312">
        <v>1.9</v>
      </c>
      <c r="H312">
        <v>0.7</v>
      </c>
      <c r="I312">
        <v>1.2</v>
      </c>
      <c r="J312">
        <v>0</v>
      </c>
      <c r="K312">
        <v>0</v>
      </c>
    </row>
    <row r="313" spans="1:11" x14ac:dyDescent="0.25">
      <c r="A313">
        <v>2014</v>
      </c>
      <c r="B313" t="s">
        <v>19</v>
      </c>
      <c r="C313">
        <v>9</v>
      </c>
      <c r="D313">
        <v>7</v>
      </c>
      <c r="E313">
        <v>353</v>
      </c>
      <c r="F313">
        <v>281</v>
      </c>
      <c r="G313">
        <v>5.7</v>
      </c>
      <c r="H313">
        <v>0</v>
      </c>
      <c r="I313">
        <v>5.7</v>
      </c>
      <c r="J313">
        <v>0</v>
      </c>
      <c r="K313">
        <v>0</v>
      </c>
    </row>
    <row r="314" spans="1:11" x14ac:dyDescent="0.25">
      <c r="A314">
        <v>2014</v>
      </c>
      <c r="B314" t="s">
        <v>27</v>
      </c>
      <c r="C314">
        <v>3</v>
      </c>
      <c r="D314">
        <v>13</v>
      </c>
      <c r="E314">
        <v>253</v>
      </c>
      <c r="F314">
        <v>452</v>
      </c>
      <c r="G314">
        <v>-9</v>
      </c>
      <c r="H314">
        <v>-4.3</v>
      </c>
      <c r="I314">
        <v>-4.7</v>
      </c>
      <c r="J314">
        <v>0</v>
      </c>
      <c r="K314">
        <v>0</v>
      </c>
    </row>
    <row r="315" spans="1:11" x14ac:dyDescent="0.25">
      <c r="A315">
        <v>2014</v>
      </c>
      <c r="B315" t="s">
        <v>28</v>
      </c>
      <c r="C315">
        <v>10</v>
      </c>
      <c r="D315">
        <v>6</v>
      </c>
      <c r="E315">
        <v>474</v>
      </c>
      <c r="F315">
        <v>400</v>
      </c>
      <c r="G315">
        <v>3.9</v>
      </c>
      <c r="H315">
        <v>6.6</v>
      </c>
      <c r="I315">
        <v>-2.7</v>
      </c>
      <c r="J315">
        <v>0</v>
      </c>
      <c r="K315">
        <v>0</v>
      </c>
    </row>
    <row r="316" spans="1:11" x14ac:dyDescent="0.25">
      <c r="A316">
        <v>2014</v>
      </c>
      <c r="B316" t="s">
        <v>24</v>
      </c>
      <c r="C316">
        <v>6</v>
      </c>
      <c r="D316">
        <v>10</v>
      </c>
      <c r="E316">
        <v>380</v>
      </c>
      <c r="F316">
        <v>400</v>
      </c>
      <c r="G316">
        <v>-1.7</v>
      </c>
      <c r="H316">
        <v>0.8</v>
      </c>
      <c r="I316">
        <v>-2.5</v>
      </c>
      <c r="J316">
        <v>0</v>
      </c>
      <c r="K316">
        <v>0</v>
      </c>
    </row>
    <row r="317" spans="1:11" x14ac:dyDescent="0.25">
      <c r="A317">
        <v>2014</v>
      </c>
      <c r="B317" t="s">
        <v>38</v>
      </c>
      <c r="C317">
        <v>4</v>
      </c>
      <c r="D317">
        <v>12</v>
      </c>
      <c r="E317">
        <v>301</v>
      </c>
      <c r="F317">
        <v>438</v>
      </c>
      <c r="G317">
        <v>-8.6999999999999993</v>
      </c>
      <c r="H317">
        <v>-4</v>
      </c>
      <c r="I317">
        <v>-4.7</v>
      </c>
      <c r="J317">
        <v>0</v>
      </c>
      <c r="K317">
        <v>0</v>
      </c>
    </row>
    <row r="318" spans="1:11" x14ac:dyDescent="0.25">
      <c r="A318">
        <v>2014</v>
      </c>
      <c r="B318" t="s">
        <v>10</v>
      </c>
      <c r="C318">
        <v>5</v>
      </c>
      <c r="D318">
        <v>11</v>
      </c>
      <c r="E318">
        <v>319</v>
      </c>
      <c r="F318">
        <v>442</v>
      </c>
      <c r="G318">
        <v>-6.7</v>
      </c>
      <c r="H318">
        <v>-2</v>
      </c>
      <c r="I318">
        <v>-4.7</v>
      </c>
      <c r="J318">
        <v>0</v>
      </c>
      <c r="K318">
        <v>0</v>
      </c>
    </row>
    <row r="319" spans="1:11" x14ac:dyDescent="0.25">
      <c r="A319">
        <v>2014</v>
      </c>
      <c r="B319" t="s">
        <v>6</v>
      </c>
      <c r="C319">
        <v>6</v>
      </c>
      <c r="D319">
        <v>10</v>
      </c>
      <c r="E319">
        <v>381</v>
      </c>
      <c r="F319">
        <v>417</v>
      </c>
      <c r="G319">
        <v>-3.8</v>
      </c>
      <c r="H319">
        <v>0.6</v>
      </c>
      <c r="I319">
        <v>-4.4000000000000004</v>
      </c>
      <c r="J319">
        <v>0</v>
      </c>
      <c r="K319">
        <v>0</v>
      </c>
    </row>
    <row r="320" spans="1:11" x14ac:dyDescent="0.25">
      <c r="A320">
        <v>2014</v>
      </c>
      <c r="B320" t="s">
        <v>36</v>
      </c>
      <c r="C320">
        <v>2</v>
      </c>
      <c r="D320">
        <v>14</v>
      </c>
      <c r="E320">
        <v>277</v>
      </c>
      <c r="F320">
        <v>410</v>
      </c>
      <c r="G320">
        <v>-9.8000000000000007</v>
      </c>
      <c r="H320">
        <v>-6.5</v>
      </c>
      <c r="I320">
        <v>-3.3</v>
      </c>
      <c r="J320">
        <v>0</v>
      </c>
      <c r="K320">
        <v>0</v>
      </c>
    </row>
    <row r="321" spans="1:11" x14ac:dyDescent="0.25">
      <c r="A321">
        <v>2014</v>
      </c>
      <c r="B321" t="s">
        <v>32</v>
      </c>
      <c r="C321">
        <v>8</v>
      </c>
      <c r="D321">
        <v>8</v>
      </c>
      <c r="E321">
        <v>306</v>
      </c>
      <c r="F321">
        <v>340</v>
      </c>
      <c r="G321">
        <v>-1</v>
      </c>
      <c r="H321">
        <v>-3</v>
      </c>
      <c r="I321">
        <v>2.1</v>
      </c>
      <c r="J321">
        <v>0</v>
      </c>
      <c r="K321">
        <v>0</v>
      </c>
    </row>
    <row r="322" spans="1:11" x14ac:dyDescent="0.25">
      <c r="A322">
        <v>2014</v>
      </c>
      <c r="B322" t="s">
        <v>35</v>
      </c>
      <c r="C322">
        <v>6</v>
      </c>
      <c r="D322">
        <v>10</v>
      </c>
      <c r="E322">
        <v>324</v>
      </c>
      <c r="F322">
        <v>354</v>
      </c>
      <c r="G322">
        <v>-0.8</v>
      </c>
      <c r="H322">
        <v>-1.2</v>
      </c>
      <c r="I322">
        <v>0.4</v>
      </c>
      <c r="J322">
        <v>0</v>
      </c>
      <c r="K322">
        <v>0</v>
      </c>
    </row>
    <row r="323" spans="1:11" x14ac:dyDescent="0.25">
      <c r="A323">
        <v>2015</v>
      </c>
      <c r="B323" t="s">
        <v>25</v>
      </c>
      <c r="C323">
        <v>10</v>
      </c>
      <c r="D323">
        <v>6</v>
      </c>
      <c r="E323">
        <v>387</v>
      </c>
      <c r="F323">
        <v>314</v>
      </c>
      <c r="G323">
        <v>1.5</v>
      </c>
      <c r="H323">
        <v>-0.5</v>
      </c>
      <c r="I323">
        <v>2</v>
      </c>
      <c r="J323">
        <v>0</v>
      </c>
      <c r="K323">
        <v>0</v>
      </c>
    </row>
    <row r="324" spans="1:11" x14ac:dyDescent="0.25">
      <c r="A324">
        <v>2015</v>
      </c>
      <c r="B324" t="s">
        <v>8</v>
      </c>
      <c r="C324">
        <v>8</v>
      </c>
      <c r="D324">
        <v>8</v>
      </c>
      <c r="E324">
        <v>379</v>
      </c>
      <c r="F324">
        <v>359</v>
      </c>
      <c r="G324">
        <v>0</v>
      </c>
      <c r="H324">
        <v>0.3</v>
      </c>
      <c r="I324">
        <v>-0.2</v>
      </c>
      <c r="J324">
        <v>0</v>
      </c>
      <c r="K324">
        <v>0</v>
      </c>
    </row>
    <row r="325" spans="1:11" x14ac:dyDescent="0.25">
      <c r="A325">
        <v>2015</v>
      </c>
      <c r="B325" t="s">
        <v>20</v>
      </c>
      <c r="C325">
        <v>6</v>
      </c>
      <c r="D325">
        <v>10</v>
      </c>
      <c r="E325">
        <v>310</v>
      </c>
      <c r="F325">
        <v>389</v>
      </c>
      <c r="G325">
        <v>-6.8</v>
      </c>
      <c r="H325">
        <v>-4.7</v>
      </c>
      <c r="I325">
        <v>-2.2000000000000002</v>
      </c>
      <c r="J325">
        <v>0</v>
      </c>
      <c r="K325">
        <v>0</v>
      </c>
    </row>
    <row r="326" spans="1:11" x14ac:dyDescent="0.25">
      <c r="A326">
        <v>2015</v>
      </c>
      <c r="B326" t="s">
        <v>7</v>
      </c>
      <c r="C326">
        <v>5</v>
      </c>
      <c r="D326">
        <v>11</v>
      </c>
      <c r="E326">
        <v>328</v>
      </c>
      <c r="F326">
        <v>401</v>
      </c>
      <c r="G326">
        <v>-1.9</v>
      </c>
      <c r="H326">
        <v>-0.7</v>
      </c>
      <c r="I326">
        <v>-1.2</v>
      </c>
      <c r="J326">
        <v>0</v>
      </c>
      <c r="K326">
        <v>0</v>
      </c>
    </row>
    <row r="327" spans="1:11" x14ac:dyDescent="0.25">
      <c r="A327">
        <v>2015</v>
      </c>
      <c r="B327" t="s">
        <v>12</v>
      </c>
      <c r="C327">
        <v>3</v>
      </c>
      <c r="D327">
        <v>13</v>
      </c>
      <c r="E327">
        <v>278</v>
      </c>
      <c r="F327">
        <v>432</v>
      </c>
      <c r="G327">
        <v>-6.1</v>
      </c>
      <c r="H327">
        <v>-3.2</v>
      </c>
      <c r="I327">
        <v>-2.9</v>
      </c>
      <c r="J327">
        <v>0</v>
      </c>
      <c r="K327">
        <v>0</v>
      </c>
    </row>
    <row r="328" spans="1:11" x14ac:dyDescent="0.25">
      <c r="A328">
        <v>2015</v>
      </c>
      <c r="B328" t="s">
        <v>17</v>
      </c>
      <c r="C328">
        <v>8</v>
      </c>
      <c r="D328">
        <v>8</v>
      </c>
      <c r="E328">
        <v>333</v>
      </c>
      <c r="F328">
        <v>408</v>
      </c>
      <c r="G328">
        <v>-6.7</v>
      </c>
      <c r="H328">
        <v>-3.1</v>
      </c>
      <c r="I328">
        <v>-3.6</v>
      </c>
      <c r="J328">
        <v>0</v>
      </c>
      <c r="K328">
        <v>0</v>
      </c>
    </row>
    <row r="329" spans="1:11" x14ac:dyDescent="0.25">
      <c r="A329">
        <v>2015</v>
      </c>
      <c r="B329" t="s">
        <v>18</v>
      </c>
      <c r="C329">
        <v>5</v>
      </c>
      <c r="D329">
        <v>11</v>
      </c>
      <c r="E329">
        <v>376</v>
      </c>
      <c r="F329">
        <v>448</v>
      </c>
      <c r="G329">
        <v>-7.5</v>
      </c>
      <c r="H329">
        <v>-0.7</v>
      </c>
      <c r="I329">
        <v>-6.9</v>
      </c>
      <c r="J329">
        <v>0</v>
      </c>
      <c r="K329">
        <v>0</v>
      </c>
    </row>
    <row r="330" spans="1:11" x14ac:dyDescent="0.25">
      <c r="A330">
        <v>2015</v>
      </c>
      <c r="B330" t="s">
        <v>37</v>
      </c>
      <c r="C330">
        <v>3</v>
      </c>
      <c r="D330">
        <v>13</v>
      </c>
      <c r="E330">
        <v>299</v>
      </c>
      <c r="F330">
        <v>423</v>
      </c>
      <c r="G330">
        <v>-10.5</v>
      </c>
      <c r="H330">
        <v>-5.9</v>
      </c>
      <c r="I330">
        <v>-4.5999999999999996</v>
      </c>
      <c r="J330">
        <v>0</v>
      </c>
      <c r="K330">
        <v>0</v>
      </c>
    </row>
    <row r="331" spans="1:11" x14ac:dyDescent="0.25">
      <c r="A331">
        <v>2015</v>
      </c>
      <c r="B331" t="s">
        <v>31</v>
      </c>
      <c r="C331">
        <v>4</v>
      </c>
      <c r="D331">
        <v>12</v>
      </c>
      <c r="E331">
        <v>320</v>
      </c>
      <c r="F331">
        <v>398</v>
      </c>
      <c r="G331">
        <v>-2.6</v>
      </c>
      <c r="H331">
        <v>-1.5</v>
      </c>
      <c r="I331">
        <v>-1.1000000000000001</v>
      </c>
      <c r="J331">
        <v>0</v>
      </c>
      <c r="K331">
        <v>0</v>
      </c>
    </row>
    <row r="332" spans="1:11" x14ac:dyDescent="0.25">
      <c r="A332">
        <v>2015</v>
      </c>
      <c r="B332" t="s">
        <v>24</v>
      </c>
      <c r="C332">
        <v>6</v>
      </c>
      <c r="D332">
        <v>10</v>
      </c>
      <c r="E332">
        <v>420</v>
      </c>
      <c r="F332">
        <v>442</v>
      </c>
      <c r="G332">
        <v>-3.6</v>
      </c>
      <c r="H332">
        <v>2.5</v>
      </c>
      <c r="I332">
        <v>-6.1</v>
      </c>
      <c r="J332">
        <v>0</v>
      </c>
      <c r="K332">
        <v>0</v>
      </c>
    </row>
    <row r="333" spans="1:11" x14ac:dyDescent="0.25">
      <c r="A333">
        <v>2015</v>
      </c>
      <c r="B333" t="s">
        <v>13</v>
      </c>
      <c r="C333">
        <v>4</v>
      </c>
      <c r="D333">
        <v>12</v>
      </c>
      <c r="E333">
        <v>275</v>
      </c>
      <c r="F333">
        <v>374</v>
      </c>
      <c r="G333">
        <v>-6.9</v>
      </c>
      <c r="H333">
        <v>-7</v>
      </c>
      <c r="I333">
        <v>0.1</v>
      </c>
      <c r="J333">
        <v>0</v>
      </c>
      <c r="K333">
        <v>0</v>
      </c>
    </row>
    <row r="334" spans="1:11" x14ac:dyDescent="0.25">
      <c r="A334">
        <v>2015</v>
      </c>
      <c r="B334" t="s">
        <v>10</v>
      </c>
      <c r="C334">
        <v>6</v>
      </c>
      <c r="D334">
        <v>10</v>
      </c>
      <c r="E334">
        <v>335</v>
      </c>
      <c r="F334">
        <v>397</v>
      </c>
      <c r="G334">
        <v>-1.3</v>
      </c>
      <c r="H334">
        <v>-0.1</v>
      </c>
      <c r="I334">
        <v>-1.2</v>
      </c>
      <c r="J334">
        <v>0</v>
      </c>
      <c r="K334">
        <v>0</v>
      </c>
    </row>
    <row r="335" spans="1:11" x14ac:dyDescent="0.25">
      <c r="A335">
        <v>2015</v>
      </c>
      <c r="B335" t="s">
        <v>6</v>
      </c>
      <c r="C335">
        <v>8</v>
      </c>
      <c r="D335">
        <v>8</v>
      </c>
      <c r="E335">
        <v>339</v>
      </c>
      <c r="F335">
        <v>345</v>
      </c>
      <c r="G335">
        <v>-3.8</v>
      </c>
      <c r="H335">
        <v>-4</v>
      </c>
      <c r="I335">
        <v>0.3</v>
      </c>
      <c r="J335">
        <v>0</v>
      </c>
      <c r="K335">
        <v>0</v>
      </c>
    </row>
    <row r="336" spans="1:11" x14ac:dyDescent="0.25">
      <c r="A336">
        <v>2015</v>
      </c>
      <c r="B336" t="s">
        <v>36</v>
      </c>
      <c r="C336">
        <v>6</v>
      </c>
      <c r="D336">
        <v>10</v>
      </c>
      <c r="E336">
        <v>342</v>
      </c>
      <c r="F336">
        <v>417</v>
      </c>
      <c r="G336">
        <v>-7.7</v>
      </c>
      <c r="H336">
        <v>-3.5</v>
      </c>
      <c r="I336">
        <v>-4.2</v>
      </c>
      <c r="J336">
        <v>0</v>
      </c>
      <c r="K336">
        <v>0</v>
      </c>
    </row>
    <row r="337" spans="1:11" x14ac:dyDescent="0.25">
      <c r="A337">
        <v>2015</v>
      </c>
      <c r="B337" t="s">
        <v>32</v>
      </c>
      <c r="C337">
        <v>5</v>
      </c>
      <c r="D337">
        <v>11</v>
      </c>
      <c r="E337">
        <v>238</v>
      </c>
      <c r="F337">
        <v>387</v>
      </c>
      <c r="G337">
        <v>-5.5</v>
      </c>
      <c r="H337">
        <v>-6</v>
      </c>
      <c r="I337">
        <v>0.5</v>
      </c>
      <c r="J337">
        <v>0</v>
      </c>
      <c r="K337">
        <v>0</v>
      </c>
    </row>
    <row r="338" spans="1:11" x14ac:dyDescent="0.25">
      <c r="A338">
        <v>2016</v>
      </c>
      <c r="B338" t="s">
        <v>25</v>
      </c>
      <c r="C338">
        <v>5</v>
      </c>
      <c r="D338">
        <v>11</v>
      </c>
      <c r="E338">
        <v>275</v>
      </c>
      <c r="F338">
        <v>409</v>
      </c>
      <c r="G338">
        <v>-8.5</v>
      </c>
      <c r="H338">
        <v>-5.5</v>
      </c>
      <c r="I338">
        <v>-3</v>
      </c>
      <c r="J338">
        <v>0</v>
      </c>
      <c r="K338">
        <v>0</v>
      </c>
    </row>
    <row r="339" spans="1:11" x14ac:dyDescent="0.25">
      <c r="A339">
        <v>2016</v>
      </c>
      <c r="B339" t="s">
        <v>7</v>
      </c>
      <c r="C339">
        <v>8</v>
      </c>
      <c r="D339">
        <v>8</v>
      </c>
      <c r="E339">
        <v>343</v>
      </c>
      <c r="F339">
        <v>321</v>
      </c>
      <c r="G339">
        <v>1.5</v>
      </c>
      <c r="H339">
        <v>-1.1000000000000001</v>
      </c>
      <c r="I339">
        <v>2.6</v>
      </c>
      <c r="J339">
        <v>0</v>
      </c>
      <c r="K339">
        <v>0</v>
      </c>
    </row>
    <row r="340" spans="1:11" x14ac:dyDescent="0.25">
      <c r="A340">
        <v>2016</v>
      </c>
      <c r="B340" t="s">
        <v>11</v>
      </c>
      <c r="C340">
        <v>6</v>
      </c>
      <c r="D340">
        <v>9</v>
      </c>
      <c r="E340">
        <v>325</v>
      </c>
      <c r="F340">
        <v>315</v>
      </c>
      <c r="G340">
        <v>1</v>
      </c>
      <c r="H340">
        <v>-1.5</v>
      </c>
      <c r="I340">
        <v>2.5</v>
      </c>
      <c r="J340">
        <v>0</v>
      </c>
      <c r="K340">
        <v>0</v>
      </c>
    </row>
    <row r="341" spans="1:11" x14ac:dyDescent="0.25">
      <c r="A341">
        <v>2016</v>
      </c>
      <c r="B341" t="s">
        <v>12</v>
      </c>
      <c r="C341">
        <v>1</v>
      </c>
      <c r="D341">
        <v>15</v>
      </c>
      <c r="E341">
        <v>264</v>
      </c>
      <c r="F341">
        <v>452</v>
      </c>
      <c r="G341">
        <v>-10.1</v>
      </c>
      <c r="H341">
        <v>-5.2</v>
      </c>
      <c r="I341">
        <v>-4.9000000000000004</v>
      </c>
      <c r="J341">
        <v>0</v>
      </c>
      <c r="K341">
        <v>0</v>
      </c>
    </row>
    <row r="342" spans="1:11" x14ac:dyDescent="0.25">
      <c r="A342">
        <v>2016</v>
      </c>
      <c r="B342" t="s">
        <v>37</v>
      </c>
      <c r="C342">
        <v>9</v>
      </c>
      <c r="D342">
        <v>7</v>
      </c>
      <c r="E342">
        <v>381</v>
      </c>
      <c r="F342">
        <v>378</v>
      </c>
      <c r="G342">
        <v>-1</v>
      </c>
      <c r="H342">
        <v>0.7</v>
      </c>
      <c r="I342">
        <v>-1.7</v>
      </c>
      <c r="J342">
        <v>0</v>
      </c>
      <c r="K342">
        <v>0</v>
      </c>
    </row>
    <row r="343" spans="1:11" x14ac:dyDescent="0.25">
      <c r="A343">
        <v>2016</v>
      </c>
      <c r="B343" t="s">
        <v>17</v>
      </c>
      <c r="C343">
        <v>8</v>
      </c>
      <c r="D343">
        <v>8</v>
      </c>
      <c r="E343">
        <v>411</v>
      </c>
      <c r="F343">
        <v>392</v>
      </c>
      <c r="G343">
        <v>0.4</v>
      </c>
      <c r="H343">
        <v>3.1</v>
      </c>
      <c r="I343">
        <v>-2.7</v>
      </c>
      <c r="J343">
        <v>0</v>
      </c>
      <c r="K343">
        <v>0</v>
      </c>
    </row>
    <row r="344" spans="1:11" x14ac:dyDescent="0.25">
      <c r="A344">
        <v>2016</v>
      </c>
      <c r="B344" t="s">
        <v>18</v>
      </c>
      <c r="C344">
        <v>3</v>
      </c>
      <c r="D344">
        <v>13</v>
      </c>
      <c r="E344">
        <v>318</v>
      </c>
      <c r="F344">
        <v>400</v>
      </c>
      <c r="G344">
        <v>-5</v>
      </c>
      <c r="H344">
        <v>-2.7</v>
      </c>
      <c r="I344">
        <v>-2.2999999999999998</v>
      </c>
      <c r="J344">
        <v>0</v>
      </c>
      <c r="K344">
        <v>0</v>
      </c>
    </row>
    <row r="345" spans="1:11" x14ac:dyDescent="0.25">
      <c r="A345">
        <v>2016</v>
      </c>
      <c r="B345" t="s">
        <v>14</v>
      </c>
      <c r="C345">
        <v>9</v>
      </c>
      <c r="D345">
        <v>7</v>
      </c>
      <c r="E345">
        <v>333</v>
      </c>
      <c r="F345">
        <v>297</v>
      </c>
      <c r="G345">
        <v>4</v>
      </c>
      <c r="H345">
        <v>-2</v>
      </c>
      <c r="I345">
        <v>6.1</v>
      </c>
      <c r="J345">
        <v>0</v>
      </c>
      <c r="K345">
        <v>0</v>
      </c>
    </row>
    <row r="346" spans="1:11" x14ac:dyDescent="0.25">
      <c r="A346">
        <v>2016</v>
      </c>
      <c r="B346" t="s">
        <v>31</v>
      </c>
      <c r="C346">
        <v>5</v>
      </c>
      <c r="D346">
        <v>11</v>
      </c>
      <c r="E346">
        <v>410</v>
      </c>
      <c r="F346">
        <v>423</v>
      </c>
      <c r="G346">
        <v>0.1</v>
      </c>
      <c r="H346">
        <v>3</v>
      </c>
      <c r="I346">
        <v>-3</v>
      </c>
      <c r="J346">
        <v>0</v>
      </c>
      <c r="K346">
        <v>0</v>
      </c>
    </row>
    <row r="347" spans="1:11" x14ac:dyDescent="0.25">
      <c r="A347">
        <v>2016</v>
      </c>
      <c r="B347" t="s">
        <v>38</v>
      </c>
      <c r="C347">
        <v>8</v>
      </c>
      <c r="D347">
        <v>7</v>
      </c>
      <c r="E347">
        <v>396</v>
      </c>
      <c r="F347">
        <v>383</v>
      </c>
      <c r="G347">
        <v>2</v>
      </c>
      <c r="H347">
        <v>3.3</v>
      </c>
      <c r="I347">
        <v>-1.3</v>
      </c>
      <c r="J347">
        <v>0</v>
      </c>
      <c r="K347">
        <v>0</v>
      </c>
    </row>
    <row r="348" spans="1:11" x14ac:dyDescent="0.25">
      <c r="A348">
        <v>2016</v>
      </c>
      <c r="B348" t="s">
        <v>21</v>
      </c>
      <c r="C348">
        <v>8</v>
      </c>
      <c r="D348">
        <v>8</v>
      </c>
      <c r="E348">
        <v>327</v>
      </c>
      <c r="F348">
        <v>307</v>
      </c>
      <c r="G348">
        <v>0.9</v>
      </c>
      <c r="H348">
        <v>-2.6</v>
      </c>
      <c r="I348">
        <v>3.6</v>
      </c>
      <c r="J348">
        <v>0</v>
      </c>
      <c r="K348">
        <v>0</v>
      </c>
    </row>
    <row r="349" spans="1:11" x14ac:dyDescent="0.25">
      <c r="A349">
        <v>2016</v>
      </c>
      <c r="B349" t="s">
        <v>10</v>
      </c>
      <c r="C349">
        <v>3</v>
      </c>
      <c r="D349">
        <v>13</v>
      </c>
      <c r="E349">
        <v>279</v>
      </c>
      <c r="F349">
        <v>399</v>
      </c>
      <c r="G349">
        <v>-7.5</v>
      </c>
      <c r="H349">
        <v>-5.2</v>
      </c>
      <c r="I349">
        <v>-2.2999999999999998</v>
      </c>
      <c r="J349">
        <v>0</v>
      </c>
      <c r="K349">
        <v>0</v>
      </c>
    </row>
    <row r="350" spans="1:11" x14ac:dyDescent="0.25">
      <c r="A350">
        <v>2016</v>
      </c>
      <c r="B350" t="s">
        <v>36</v>
      </c>
      <c r="C350">
        <v>9</v>
      </c>
      <c r="D350">
        <v>7</v>
      </c>
      <c r="E350">
        <v>354</v>
      </c>
      <c r="F350">
        <v>369</v>
      </c>
      <c r="G350">
        <v>-0.2</v>
      </c>
      <c r="H350">
        <v>-1.5</v>
      </c>
      <c r="I350">
        <v>1.3</v>
      </c>
      <c r="J350">
        <v>0</v>
      </c>
      <c r="K350">
        <v>0</v>
      </c>
    </row>
    <row r="351" spans="1:11" x14ac:dyDescent="0.25">
      <c r="A351">
        <v>2016</v>
      </c>
      <c r="B351" t="s">
        <v>9</v>
      </c>
      <c r="C351">
        <v>6</v>
      </c>
      <c r="D351">
        <v>10</v>
      </c>
      <c r="E351">
        <v>369</v>
      </c>
      <c r="F351">
        <v>402</v>
      </c>
      <c r="G351">
        <v>-1</v>
      </c>
      <c r="H351">
        <v>-0.2</v>
      </c>
      <c r="I351">
        <v>-0.8</v>
      </c>
      <c r="J351">
        <v>0</v>
      </c>
      <c r="K351">
        <v>0</v>
      </c>
    </row>
    <row r="352" spans="1:11" x14ac:dyDescent="0.25">
      <c r="A352">
        <v>2016</v>
      </c>
      <c r="B352" t="s">
        <v>35</v>
      </c>
      <c r="C352">
        <v>4</v>
      </c>
      <c r="D352">
        <v>12</v>
      </c>
      <c r="E352">
        <v>224</v>
      </c>
      <c r="F352">
        <v>394</v>
      </c>
      <c r="G352">
        <v>-11.1</v>
      </c>
      <c r="H352">
        <v>-9.5</v>
      </c>
      <c r="I352">
        <v>-1.6</v>
      </c>
      <c r="J352">
        <v>0</v>
      </c>
      <c r="K352">
        <v>0</v>
      </c>
    </row>
    <row r="353" spans="1:11" x14ac:dyDescent="0.25">
      <c r="A353">
        <v>2016</v>
      </c>
      <c r="B353" t="s">
        <v>32</v>
      </c>
      <c r="C353">
        <v>2</v>
      </c>
      <c r="D353">
        <v>14</v>
      </c>
      <c r="E353">
        <v>309</v>
      </c>
      <c r="F353">
        <v>480</v>
      </c>
      <c r="G353">
        <v>-11.2</v>
      </c>
      <c r="H353">
        <v>-3.7</v>
      </c>
      <c r="I353">
        <v>-7.5</v>
      </c>
      <c r="J353">
        <v>0</v>
      </c>
      <c r="K353">
        <v>0</v>
      </c>
    </row>
    <row r="354" spans="1:11" x14ac:dyDescent="0.25">
      <c r="A354">
        <v>2017</v>
      </c>
      <c r="B354" t="s">
        <v>20</v>
      </c>
      <c r="C354">
        <v>6</v>
      </c>
      <c r="D354">
        <v>10</v>
      </c>
      <c r="E354">
        <v>281</v>
      </c>
      <c r="F354">
        <v>393</v>
      </c>
      <c r="G354">
        <v>-6.3</v>
      </c>
      <c r="H354">
        <v>-3.9</v>
      </c>
      <c r="I354">
        <v>-2.4</v>
      </c>
      <c r="J354">
        <v>0</v>
      </c>
      <c r="K354">
        <v>0</v>
      </c>
    </row>
    <row r="355" spans="1:11" x14ac:dyDescent="0.25">
      <c r="A355">
        <v>2017</v>
      </c>
      <c r="B355" t="s">
        <v>25</v>
      </c>
      <c r="C355">
        <v>5</v>
      </c>
      <c r="D355">
        <v>11</v>
      </c>
      <c r="E355">
        <v>298</v>
      </c>
      <c r="F355">
        <v>382</v>
      </c>
      <c r="G355">
        <v>-4.9000000000000004</v>
      </c>
      <c r="H355">
        <v>-2.9</v>
      </c>
      <c r="I355">
        <v>-2.1</v>
      </c>
      <c r="J355">
        <v>0</v>
      </c>
      <c r="K355">
        <v>0</v>
      </c>
    </row>
    <row r="356" spans="1:11" x14ac:dyDescent="0.25">
      <c r="A356">
        <v>2017</v>
      </c>
      <c r="B356" t="s">
        <v>7</v>
      </c>
      <c r="C356">
        <v>9</v>
      </c>
      <c r="D356">
        <v>7</v>
      </c>
      <c r="E356">
        <v>395</v>
      </c>
      <c r="F356">
        <v>303</v>
      </c>
      <c r="G356">
        <v>3.4</v>
      </c>
      <c r="H356">
        <v>2.2000000000000002</v>
      </c>
      <c r="I356">
        <v>1.2</v>
      </c>
      <c r="J356">
        <v>0</v>
      </c>
      <c r="K356">
        <v>0</v>
      </c>
    </row>
    <row r="357" spans="1:11" x14ac:dyDescent="0.25">
      <c r="A357">
        <v>2017</v>
      </c>
      <c r="B357" t="s">
        <v>12</v>
      </c>
      <c r="C357">
        <v>0</v>
      </c>
      <c r="D357">
        <v>16</v>
      </c>
      <c r="E357">
        <v>234</v>
      </c>
      <c r="F357">
        <v>410</v>
      </c>
      <c r="G357">
        <v>-11</v>
      </c>
      <c r="H357">
        <v>-6.8</v>
      </c>
      <c r="I357">
        <v>-4.0999999999999996</v>
      </c>
      <c r="J357">
        <v>0</v>
      </c>
      <c r="K357">
        <v>0</v>
      </c>
    </row>
    <row r="358" spans="1:11" x14ac:dyDescent="0.25">
      <c r="A358">
        <v>2017</v>
      </c>
      <c r="B358" t="s">
        <v>17</v>
      </c>
      <c r="C358">
        <v>4</v>
      </c>
      <c r="D358">
        <v>12</v>
      </c>
      <c r="E358">
        <v>263</v>
      </c>
      <c r="F358">
        <v>404</v>
      </c>
      <c r="G358">
        <v>-10.1</v>
      </c>
      <c r="H358">
        <v>-6.1</v>
      </c>
      <c r="I358">
        <v>-4</v>
      </c>
      <c r="J358">
        <v>0</v>
      </c>
      <c r="K358">
        <v>0</v>
      </c>
    </row>
    <row r="359" spans="1:11" x14ac:dyDescent="0.25">
      <c r="A359">
        <v>2017</v>
      </c>
      <c r="B359" t="s">
        <v>39</v>
      </c>
      <c r="C359">
        <v>4</v>
      </c>
      <c r="D359">
        <v>12</v>
      </c>
      <c r="E359">
        <v>338</v>
      </c>
      <c r="F359">
        <v>436</v>
      </c>
      <c r="G359">
        <v>-6.4</v>
      </c>
      <c r="H359">
        <v>-0.8</v>
      </c>
      <c r="I359">
        <v>-5.6</v>
      </c>
      <c r="J359">
        <v>0</v>
      </c>
      <c r="K359">
        <v>0</v>
      </c>
    </row>
    <row r="360" spans="1:11" x14ac:dyDescent="0.25">
      <c r="A360">
        <v>2017</v>
      </c>
      <c r="B360" t="s">
        <v>31</v>
      </c>
      <c r="C360">
        <v>9</v>
      </c>
      <c r="D360">
        <v>7</v>
      </c>
      <c r="E360">
        <v>355</v>
      </c>
      <c r="F360">
        <v>272</v>
      </c>
      <c r="G360">
        <v>3.6</v>
      </c>
      <c r="H360">
        <v>-0.3</v>
      </c>
      <c r="I360">
        <v>4</v>
      </c>
      <c r="J360">
        <v>0</v>
      </c>
      <c r="K360">
        <v>0</v>
      </c>
    </row>
    <row r="361" spans="1:11" x14ac:dyDescent="0.25">
      <c r="A361">
        <v>2017</v>
      </c>
      <c r="B361" t="s">
        <v>27</v>
      </c>
      <c r="C361">
        <v>6</v>
      </c>
      <c r="D361">
        <v>10</v>
      </c>
      <c r="E361">
        <v>301</v>
      </c>
      <c r="F361">
        <v>373</v>
      </c>
      <c r="G361">
        <v>-4.7</v>
      </c>
      <c r="H361">
        <v>-3</v>
      </c>
      <c r="I361">
        <v>-1.8</v>
      </c>
      <c r="J361">
        <v>0</v>
      </c>
      <c r="K361">
        <v>0</v>
      </c>
    </row>
    <row r="362" spans="1:11" x14ac:dyDescent="0.25">
      <c r="A362">
        <v>2017</v>
      </c>
      <c r="B362" t="s">
        <v>14</v>
      </c>
      <c r="C362">
        <v>5</v>
      </c>
      <c r="D362">
        <v>11</v>
      </c>
      <c r="E362">
        <v>289</v>
      </c>
      <c r="F362">
        <v>382</v>
      </c>
      <c r="G362">
        <v>-6.7</v>
      </c>
      <c r="H362">
        <v>-3.9</v>
      </c>
      <c r="I362">
        <v>-2.9</v>
      </c>
      <c r="J362">
        <v>0</v>
      </c>
      <c r="K362">
        <v>0</v>
      </c>
    </row>
    <row r="363" spans="1:11" x14ac:dyDescent="0.25">
      <c r="A363">
        <v>2017</v>
      </c>
      <c r="B363" t="s">
        <v>13</v>
      </c>
      <c r="C363">
        <v>9</v>
      </c>
      <c r="D363">
        <v>7</v>
      </c>
      <c r="E363">
        <v>354</v>
      </c>
      <c r="F363">
        <v>332</v>
      </c>
      <c r="G363">
        <v>1.6</v>
      </c>
      <c r="H363">
        <v>0.4</v>
      </c>
      <c r="I363">
        <v>1.2</v>
      </c>
      <c r="J363">
        <v>0</v>
      </c>
      <c r="K363">
        <v>0</v>
      </c>
    </row>
    <row r="364" spans="1:11" x14ac:dyDescent="0.25">
      <c r="A364">
        <v>2017</v>
      </c>
      <c r="B364" t="s">
        <v>24</v>
      </c>
      <c r="C364">
        <v>3</v>
      </c>
      <c r="D364">
        <v>13</v>
      </c>
      <c r="E364">
        <v>246</v>
      </c>
      <c r="F364">
        <v>388</v>
      </c>
      <c r="G364">
        <v>-7.6</v>
      </c>
      <c r="H364">
        <v>-6.4</v>
      </c>
      <c r="I364">
        <v>-1.2</v>
      </c>
      <c r="J364">
        <v>0</v>
      </c>
      <c r="K364">
        <v>0</v>
      </c>
    </row>
    <row r="365" spans="1:11" x14ac:dyDescent="0.25">
      <c r="A365">
        <v>2017</v>
      </c>
      <c r="B365" t="s">
        <v>15</v>
      </c>
      <c r="C365">
        <v>9</v>
      </c>
      <c r="D365">
        <v>7</v>
      </c>
      <c r="E365">
        <v>410</v>
      </c>
      <c r="F365">
        <v>376</v>
      </c>
      <c r="G365">
        <v>2.7</v>
      </c>
      <c r="H365">
        <v>5.2</v>
      </c>
      <c r="I365">
        <v>-2.5</v>
      </c>
      <c r="J365">
        <v>0</v>
      </c>
      <c r="K365">
        <v>0</v>
      </c>
    </row>
    <row r="366" spans="1:11" x14ac:dyDescent="0.25">
      <c r="A366">
        <v>2017</v>
      </c>
      <c r="B366" t="s">
        <v>10</v>
      </c>
      <c r="C366">
        <v>5</v>
      </c>
      <c r="D366">
        <v>11</v>
      </c>
      <c r="E366">
        <v>264</v>
      </c>
      <c r="F366">
        <v>320</v>
      </c>
      <c r="G366">
        <v>-1.3</v>
      </c>
      <c r="H366">
        <v>-4.5999999999999996</v>
      </c>
      <c r="I366">
        <v>3.3</v>
      </c>
      <c r="J366">
        <v>0</v>
      </c>
      <c r="K366">
        <v>0</v>
      </c>
    </row>
    <row r="367" spans="1:11" x14ac:dyDescent="0.25">
      <c r="A367">
        <v>2017</v>
      </c>
      <c r="B367" t="s">
        <v>36</v>
      </c>
      <c r="C367">
        <v>5</v>
      </c>
      <c r="D367">
        <v>11</v>
      </c>
      <c r="E367">
        <v>335</v>
      </c>
      <c r="F367">
        <v>382</v>
      </c>
      <c r="G367">
        <v>-1.3</v>
      </c>
      <c r="H367">
        <v>0.4</v>
      </c>
      <c r="I367">
        <v>-1.7</v>
      </c>
      <c r="J367">
        <v>0</v>
      </c>
      <c r="K367">
        <v>0</v>
      </c>
    </row>
    <row r="368" spans="1:11" x14ac:dyDescent="0.25">
      <c r="A368">
        <v>2017</v>
      </c>
      <c r="B368" t="s">
        <v>33</v>
      </c>
      <c r="C368">
        <v>9</v>
      </c>
      <c r="D368">
        <v>7</v>
      </c>
      <c r="E368">
        <v>366</v>
      </c>
      <c r="F368">
        <v>332</v>
      </c>
      <c r="G368">
        <v>1.9</v>
      </c>
      <c r="H368">
        <v>0.7</v>
      </c>
      <c r="I368">
        <v>1.2</v>
      </c>
      <c r="J368">
        <v>0</v>
      </c>
      <c r="K368">
        <v>0</v>
      </c>
    </row>
    <row r="369" spans="1:11" x14ac:dyDescent="0.25">
      <c r="A369">
        <v>2017</v>
      </c>
      <c r="B369" t="s">
        <v>5</v>
      </c>
      <c r="C369">
        <v>8</v>
      </c>
      <c r="D369">
        <v>8</v>
      </c>
      <c r="E369">
        <v>295</v>
      </c>
      <c r="F369">
        <v>361</v>
      </c>
      <c r="G369">
        <v>-3.7</v>
      </c>
      <c r="H369">
        <v>-4</v>
      </c>
      <c r="I369">
        <v>0.2</v>
      </c>
      <c r="J369">
        <v>0</v>
      </c>
      <c r="K369">
        <v>0</v>
      </c>
    </row>
    <row r="370" spans="1:11" x14ac:dyDescent="0.25">
      <c r="A370">
        <v>2017</v>
      </c>
      <c r="B370" t="s">
        <v>32</v>
      </c>
      <c r="C370">
        <v>6</v>
      </c>
      <c r="D370">
        <v>10</v>
      </c>
      <c r="E370">
        <v>331</v>
      </c>
      <c r="F370">
        <v>383</v>
      </c>
      <c r="G370">
        <v>-2.9</v>
      </c>
      <c r="H370">
        <v>-0.8</v>
      </c>
      <c r="I370">
        <v>-2.1</v>
      </c>
      <c r="J370">
        <v>0</v>
      </c>
      <c r="K370">
        <v>0</v>
      </c>
    </row>
    <row r="371" spans="1:11" x14ac:dyDescent="0.25">
      <c r="A371">
        <v>2018</v>
      </c>
      <c r="B371" t="s">
        <v>8</v>
      </c>
      <c r="C371">
        <v>6</v>
      </c>
      <c r="D371">
        <v>10</v>
      </c>
      <c r="E371">
        <v>269</v>
      </c>
      <c r="F371">
        <v>374</v>
      </c>
      <c r="G371">
        <v>-6.9</v>
      </c>
      <c r="H371">
        <v>-6.3</v>
      </c>
      <c r="I371">
        <v>-0.6</v>
      </c>
      <c r="J371">
        <v>0</v>
      </c>
      <c r="K371">
        <v>0</v>
      </c>
    </row>
    <row r="372" spans="1:11" x14ac:dyDescent="0.25">
      <c r="A372">
        <v>2018</v>
      </c>
      <c r="B372" t="s">
        <v>25</v>
      </c>
      <c r="C372">
        <v>4</v>
      </c>
      <c r="D372">
        <v>12</v>
      </c>
      <c r="E372">
        <v>333</v>
      </c>
      <c r="F372">
        <v>441</v>
      </c>
      <c r="G372">
        <v>-7.8</v>
      </c>
      <c r="H372">
        <v>-2</v>
      </c>
      <c r="I372">
        <v>-5.9</v>
      </c>
      <c r="J372">
        <v>0</v>
      </c>
      <c r="K372">
        <v>0</v>
      </c>
    </row>
    <row r="373" spans="1:11" x14ac:dyDescent="0.25">
      <c r="A373">
        <v>2018</v>
      </c>
      <c r="B373" t="s">
        <v>29</v>
      </c>
      <c r="C373">
        <v>9</v>
      </c>
      <c r="D373">
        <v>6</v>
      </c>
      <c r="E373">
        <v>428</v>
      </c>
      <c r="F373">
        <v>360</v>
      </c>
      <c r="G373">
        <v>5.6</v>
      </c>
      <c r="H373">
        <v>3.9</v>
      </c>
      <c r="I373">
        <v>1.7</v>
      </c>
      <c r="J373">
        <v>0</v>
      </c>
      <c r="K373">
        <v>0</v>
      </c>
    </row>
    <row r="374" spans="1:11" x14ac:dyDescent="0.25">
      <c r="A374">
        <v>2018</v>
      </c>
      <c r="B374" t="s">
        <v>11</v>
      </c>
      <c r="C374">
        <v>6</v>
      </c>
      <c r="D374">
        <v>10</v>
      </c>
      <c r="E374">
        <v>368</v>
      </c>
      <c r="F374">
        <v>455</v>
      </c>
      <c r="G374">
        <v>-3.4</v>
      </c>
      <c r="H374">
        <v>0</v>
      </c>
      <c r="I374">
        <v>-3.4</v>
      </c>
      <c r="J374">
        <v>0</v>
      </c>
      <c r="K374">
        <v>0</v>
      </c>
    </row>
    <row r="375" spans="1:11" x14ac:dyDescent="0.25">
      <c r="A375">
        <v>2018</v>
      </c>
      <c r="B375" t="s">
        <v>37</v>
      </c>
      <c r="C375">
        <v>9</v>
      </c>
      <c r="D375">
        <v>7</v>
      </c>
      <c r="E375">
        <v>310</v>
      </c>
      <c r="F375">
        <v>303</v>
      </c>
      <c r="G375">
        <v>0.2</v>
      </c>
      <c r="H375">
        <v>-3.2</v>
      </c>
      <c r="I375">
        <v>3.5</v>
      </c>
      <c r="J375">
        <v>0</v>
      </c>
      <c r="K375">
        <v>0</v>
      </c>
    </row>
    <row r="376" spans="1:11" x14ac:dyDescent="0.25">
      <c r="A376">
        <v>2018</v>
      </c>
      <c r="B376" t="s">
        <v>18</v>
      </c>
      <c r="C376">
        <v>5</v>
      </c>
      <c r="D376">
        <v>11</v>
      </c>
      <c r="E376">
        <v>245</v>
      </c>
      <c r="F376">
        <v>316</v>
      </c>
      <c r="G376">
        <v>-4</v>
      </c>
      <c r="H376">
        <v>-8.1</v>
      </c>
      <c r="I376">
        <v>4</v>
      </c>
      <c r="J376">
        <v>0</v>
      </c>
      <c r="K376">
        <v>0</v>
      </c>
    </row>
    <row r="377" spans="1:11" x14ac:dyDescent="0.25">
      <c r="A377">
        <v>2018</v>
      </c>
      <c r="B377" t="s">
        <v>14</v>
      </c>
      <c r="C377">
        <v>6</v>
      </c>
      <c r="D377">
        <v>10</v>
      </c>
      <c r="E377">
        <v>329</v>
      </c>
      <c r="F377">
        <v>349</v>
      </c>
      <c r="G377">
        <v>-0.5</v>
      </c>
      <c r="H377">
        <v>-3.6</v>
      </c>
      <c r="I377">
        <v>3.1</v>
      </c>
      <c r="J377">
        <v>0</v>
      </c>
      <c r="K377">
        <v>0</v>
      </c>
    </row>
    <row r="378" spans="1:11" x14ac:dyDescent="0.25">
      <c r="A378">
        <v>2018</v>
      </c>
      <c r="B378" t="s">
        <v>27</v>
      </c>
      <c r="C378">
        <v>4</v>
      </c>
      <c r="D378">
        <v>12</v>
      </c>
      <c r="E378">
        <v>290</v>
      </c>
      <c r="F378">
        <v>467</v>
      </c>
      <c r="G378">
        <v>-9.3000000000000007</v>
      </c>
      <c r="H378">
        <v>-5.2</v>
      </c>
      <c r="I378">
        <v>-4.0999999999999996</v>
      </c>
      <c r="J378">
        <v>0</v>
      </c>
      <c r="K378">
        <v>0</v>
      </c>
    </row>
    <row r="379" spans="1:11" x14ac:dyDescent="0.25">
      <c r="A379">
        <v>2018</v>
      </c>
      <c r="B379" t="s">
        <v>24</v>
      </c>
      <c r="C379">
        <v>5</v>
      </c>
      <c r="D379">
        <v>11</v>
      </c>
      <c r="E379">
        <v>369</v>
      </c>
      <c r="F379">
        <v>412</v>
      </c>
      <c r="G379">
        <v>-2.2000000000000002</v>
      </c>
      <c r="H379">
        <v>0.8</v>
      </c>
      <c r="I379">
        <v>-2.9</v>
      </c>
      <c r="J379">
        <v>0</v>
      </c>
      <c r="K379">
        <v>0</v>
      </c>
    </row>
    <row r="380" spans="1:11" x14ac:dyDescent="0.25">
      <c r="A380">
        <v>2018</v>
      </c>
      <c r="B380" t="s">
        <v>21</v>
      </c>
      <c r="C380">
        <v>8</v>
      </c>
      <c r="D380">
        <v>7</v>
      </c>
      <c r="E380">
        <v>360</v>
      </c>
      <c r="F380">
        <v>341</v>
      </c>
      <c r="G380">
        <v>0.6</v>
      </c>
      <c r="H380">
        <v>-1.2</v>
      </c>
      <c r="I380">
        <v>1.8</v>
      </c>
      <c r="J380">
        <v>0</v>
      </c>
      <c r="K380">
        <v>0</v>
      </c>
    </row>
    <row r="381" spans="1:11" x14ac:dyDescent="0.25">
      <c r="A381">
        <v>2018</v>
      </c>
      <c r="B381" t="s">
        <v>16</v>
      </c>
      <c r="C381">
        <v>6</v>
      </c>
      <c r="D381">
        <v>9</v>
      </c>
      <c r="E381">
        <v>376</v>
      </c>
      <c r="F381">
        <v>400</v>
      </c>
      <c r="G381">
        <v>-2.7</v>
      </c>
      <c r="H381">
        <v>0</v>
      </c>
      <c r="I381">
        <v>-2.7</v>
      </c>
      <c r="J381">
        <v>0</v>
      </c>
      <c r="K381">
        <v>0</v>
      </c>
    </row>
    <row r="382" spans="1:11" x14ac:dyDescent="0.25">
      <c r="A382">
        <v>2018</v>
      </c>
      <c r="B382" t="s">
        <v>15</v>
      </c>
      <c r="C382">
        <v>6</v>
      </c>
      <c r="D382">
        <v>10</v>
      </c>
      <c r="E382">
        <v>324</v>
      </c>
      <c r="F382">
        <v>360</v>
      </c>
      <c r="G382">
        <v>-3</v>
      </c>
      <c r="H382">
        <v>-3.3</v>
      </c>
      <c r="I382">
        <v>0.3</v>
      </c>
      <c r="J382">
        <v>0</v>
      </c>
      <c r="K382">
        <v>0</v>
      </c>
    </row>
    <row r="383" spans="1:11" x14ac:dyDescent="0.25">
      <c r="A383">
        <v>2018</v>
      </c>
      <c r="B383" t="s">
        <v>36</v>
      </c>
      <c r="C383">
        <v>5</v>
      </c>
      <c r="D383">
        <v>11</v>
      </c>
      <c r="E383">
        <v>396</v>
      </c>
      <c r="F383">
        <v>464</v>
      </c>
      <c r="G383">
        <v>-2.6</v>
      </c>
      <c r="H383">
        <v>2</v>
      </c>
      <c r="I383">
        <v>-4.5999999999999996</v>
      </c>
      <c r="J383">
        <v>0</v>
      </c>
      <c r="K383">
        <v>0</v>
      </c>
    </row>
    <row r="384" spans="1:11" x14ac:dyDescent="0.25">
      <c r="A384">
        <v>2018</v>
      </c>
      <c r="B384" t="s">
        <v>32</v>
      </c>
      <c r="C384">
        <v>4</v>
      </c>
      <c r="D384">
        <v>12</v>
      </c>
      <c r="E384">
        <v>342</v>
      </c>
      <c r="F384">
        <v>435</v>
      </c>
      <c r="G384">
        <v>-5.5</v>
      </c>
      <c r="H384">
        <v>-2.5</v>
      </c>
      <c r="I384">
        <v>-3.1</v>
      </c>
      <c r="J384">
        <v>0</v>
      </c>
      <c r="K384">
        <v>0</v>
      </c>
    </row>
    <row r="385" spans="1:11" x14ac:dyDescent="0.25">
      <c r="A385">
        <v>2018</v>
      </c>
      <c r="B385" t="s">
        <v>5</v>
      </c>
      <c r="C385">
        <v>3</v>
      </c>
      <c r="D385">
        <v>13</v>
      </c>
      <c r="E385">
        <v>225</v>
      </c>
      <c r="F385">
        <v>425</v>
      </c>
      <c r="G385">
        <v>-11.5</v>
      </c>
      <c r="H385">
        <v>-9.6</v>
      </c>
      <c r="I385">
        <v>-1.9</v>
      </c>
      <c r="J385">
        <v>0</v>
      </c>
      <c r="K385">
        <v>0</v>
      </c>
    </row>
    <row r="386" spans="1:11" x14ac:dyDescent="0.25">
      <c r="A386">
        <v>2019</v>
      </c>
      <c r="B386" t="s">
        <v>20</v>
      </c>
      <c r="C386">
        <v>5</v>
      </c>
      <c r="D386">
        <v>11</v>
      </c>
      <c r="E386">
        <v>306</v>
      </c>
      <c r="F386">
        <v>494</v>
      </c>
      <c r="G386">
        <v>-11.6</v>
      </c>
      <c r="H386">
        <v>-2.4</v>
      </c>
      <c r="I386">
        <v>-9.1</v>
      </c>
      <c r="J386">
        <v>0</v>
      </c>
      <c r="K386">
        <v>0</v>
      </c>
    </row>
    <row r="387" spans="1:11" x14ac:dyDescent="0.25">
      <c r="A387">
        <v>2019</v>
      </c>
      <c r="B387" t="s">
        <v>29</v>
      </c>
      <c r="C387">
        <v>8</v>
      </c>
      <c r="D387">
        <v>8</v>
      </c>
      <c r="E387">
        <v>289</v>
      </c>
      <c r="F387">
        <v>303</v>
      </c>
      <c r="G387">
        <v>0.3</v>
      </c>
      <c r="H387">
        <v>-4.3</v>
      </c>
      <c r="I387">
        <v>4.5999999999999996</v>
      </c>
      <c r="J387">
        <v>0</v>
      </c>
      <c r="K387">
        <v>0</v>
      </c>
    </row>
    <row r="388" spans="1:11" x14ac:dyDescent="0.25">
      <c r="A388">
        <v>2019</v>
      </c>
      <c r="B388" t="s">
        <v>12</v>
      </c>
      <c r="C388">
        <v>6</v>
      </c>
      <c r="D388">
        <v>10</v>
      </c>
      <c r="E388">
        <v>335</v>
      </c>
      <c r="F388">
        <v>393</v>
      </c>
      <c r="G388">
        <v>-1.9</v>
      </c>
      <c r="H388">
        <v>-0.4</v>
      </c>
      <c r="I388">
        <v>-1.5</v>
      </c>
      <c r="J388">
        <v>0</v>
      </c>
      <c r="K388">
        <v>0</v>
      </c>
    </row>
    <row r="389" spans="1:11" x14ac:dyDescent="0.25">
      <c r="A389">
        <v>2019</v>
      </c>
      <c r="B389" t="s">
        <v>11</v>
      </c>
      <c r="C389">
        <v>2</v>
      </c>
      <c r="D389">
        <v>14</v>
      </c>
      <c r="E389">
        <v>279</v>
      </c>
      <c r="F389">
        <v>420</v>
      </c>
      <c r="G389">
        <v>-7.3</v>
      </c>
      <c r="H389">
        <v>-4.4000000000000004</v>
      </c>
      <c r="I389">
        <v>-2.9</v>
      </c>
      <c r="J389">
        <v>0</v>
      </c>
      <c r="K389">
        <v>0</v>
      </c>
    </row>
    <row r="390" spans="1:11" x14ac:dyDescent="0.25">
      <c r="A390">
        <v>2019</v>
      </c>
      <c r="B390" t="s">
        <v>18</v>
      </c>
      <c r="C390">
        <v>6</v>
      </c>
      <c r="D390">
        <v>10</v>
      </c>
      <c r="E390">
        <v>300</v>
      </c>
      <c r="F390">
        <v>397</v>
      </c>
      <c r="G390">
        <v>-6.7</v>
      </c>
      <c r="H390">
        <v>-4.5999999999999996</v>
      </c>
      <c r="I390">
        <v>-2.1</v>
      </c>
      <c r="J390">
        <v>0</v>
      </c>
      <c r="K390">
        <v>0</v>
      </c>
    </row>
    <row r="391" spans="1:11" x14ac:dyDescent="0.25">
      <c r="A391">
        <v>2019</v>
      </c>
      <c r="B391" t="s">
        <v>31</v>
      </c>
      <c r="C391">
        <v>5</v>
      </c>
      <c r="D391">
        <v>11</v>
      </c>
      <c r="E391">
        <v>337</v>
      </c>
      <c r="F391">
        <v>345</v>
      </c>
      <c r="G391">
        <v>-1.3</v>
      </c>
      <c r="H391">
        <v>-1.6</v>
      </c>
      <c r="I391">
        <v>0.3</v>
      </c>
      <c r="J391">
        <v>0</v>
      </c>
      <c r="K391">
        <v>0</v>
      </c>
    </row>
    <row r="392" spans="1:11" x14ac:dyDescent="0.25">
      <c r="A392">
        <v>2019</v>
      </c>
      <c r="B392" t="s">
        <v>13</v>
      </c>
      <c r="C392">
        <v>8</v>
      </c>
      <c r="D392">
        <v>8</v>
      </c>
      <c r="E392">
        <v>434</v>
      </c>
      <c r="F392">
        <v>321</v>
      </c>
      <c r="G392">
        <v>5.3</v>
      </c>
      <c r="H392">
        <v>3.8</v>
      </c>
      <c r="I392">
        <v>1.5</v>
      </c>
      <c r="J392">
        <v>0</v>
      </c>
      <c r="K392">
        <v>0</v>
      </c>
    </row>
    <row r="393" spans="1:11" x14ac:dyDescent="0.25">
      <c r="A393">
        <v>2019</v>
      </c>
      <c r="B393" t="s">
        <v>24</v>
      </c>
      <c r="C393">
        <v>4</v>
      </c>
      <c r="D393">
        <v>12</v>
      </c>
      <c r="E393">
        <v>341</v>
      </c>
      <c r="F393">
        <v>451</v>
      </c>
      <c r="G393">
        <v>-7.9</v>
      </c>
      <c r="H393">
        <v>-1.8</v>
      </c>
      <c r="I393">
        <v>-6.1</v>
      </c>
      <c r="J393">
        <v>0</v>
      </c>
      <c r="K393">
        <v>0</v>
      </c>
    </row>
    <row r="394" spans="1:11" x14ac:dyDescent="0.25">
      <c r="A394">
        <v>2019</v>
      </c>
      <c r="B394" t="s">
        <v>38</v>
      </c>
      <c r="C394">
        <v>3</v>
      </c>
      <c r="D394">
        <v>13</v>
      </c>
      <c r="E394">
        <v>266</v>
      </c>
      <c r="F394">
        <v>435</v>
      </c>
      <c r="G394">
        <v>-10.8</v>
      </c>
      <c r="H394">
        <v>-6.3</v>
      </c>
      <c r="I394">
        <v>-4.5</v>
      </c>
      <c r="J394">
        <v>0</v>
      </c>
      <c r="K394">
        <v>0</v>
      </c>
    </row>
    <row r="395" spans="1:11" x14ac:dyDescent="0.25">
      <c r="A395">
        <v>2019</v>
      </c>
      <c r="B395" t="s">
        <v>10</v>
      </c>
      <c r="C395">
        <v>8</v>
      </c>
      <c r="D395">
        <v>8</v>
      </c>
      <c r="E395">
        <v>280</v>
      </c>
      <c r="F395">
        <v>298</v>
      </c>
      <c r="G395">
        <v>-0.9</v>
      </c>
      <c r="H395">
        <v>-5.4</v>
      </c>
      <c r="I395">
        <v>4.5</v>
      </c>
      <c r="J395">
        <v>0</v>
      </c>
      <c r="K395">
        <v>0</v>
      </c>
    </row>
    <row r="396" spans="1:11" x14ac:dyDescent="0.25">
      <c r="A396">
        <v>2019</v>
      </c>
      <c r="B396" t="s">
        <v>15</v>
      </c>
      <c r="C396">
        <v>3</v>
      </c>
      <c r="D396">
        <v>12</v>
      </c>
      <c r="E396">
        <v>341</v>
      </c>
      <c r="F396">
        <v>423</v>
      </c>
      <c r="G396">
        <v>-5.2</v>
      </c>
      <c r="H396">
        <v>-1.2</v>
      </c>
      <c r="I396">
        <v>-4</v>
      </c>
      <c r="J396">
        <v>0</v>
      </c>
      <c r="K396">
        <v>0</v>
      </c>
    </row>
    <row r="397" spans="1:11" x14ac:dyDescent="0.25">
      <c r="A397">
        <v>2019</v>
      </c>
      <c r="B397" t="s">
        <v>9</v>
      </c>
      <c r="C397">
        <v>5</v>
      </c>
      <c r="D397">
        <v>11</v>
      </c>
      <c r="E397">
        <v>340</v>
      </c>
      <c r="F397">
        <v>470</v>
      </c>
      <c r="G397">
        <v>-7</v>
      </c>
      <c r="H397">
        <v>-1.9</v>
      </c>
      <c r="I397">
        <v>-5.0999999999999996</v>
      </c>
      <c r="J397">
        <v>0</v>
      </c>
      <c r="K397">
        <v>0</v>
      </c>
    </row>
    <row r="398" spans="1:11" x14ac:dyDescent="0.25">
      <c r="A398">
        <v>2019</v>
      </c>
      <c r="B398" t="s">
        <v>35</v>
      </c>
      <c r="C398">
        <v>9</v>
      </c>
      <c r="D398">
        <v>7</v>
      </c>
      <c r="E398">
        <v>394</v>
      </c>
      <c r="F398">
        <v>364</v>
      </c>
      <c r="G398">
        <v>3.9</v>
      </c>
      <c r="H398">
        <v>2.2000000000000002</v>
      </c>
      <c r="I398">
        <v>1.7</v>
      </c>
      <c r="J398">
        <v>0</v>
      </c>
      <c r="K398">
        <v>0</v>
      </c>
    </row>
    <row r="399" spans="1:11" x14ac:dyDescent="0.25">
      <c r="A399">
        <v>2019</v>
      </c>
      <c r="B399" t="s">
        <v>5</v>
      </c>
      <c r="C399">
        <v>5</v>
      </c>
      <c r="D399">
        <v>10</v>
      </c>
      <c r="E399">
        <v>361</v>
      </c>
      <c r="F399">
        <v>442</v>
      </c>
      <c r="G399">
        <v>-3.2</v>
      </c>
      <c r="H399">
        <v>-0.3</v>
      </c>
      <c r="I399">
        <v>-2.9</v>
      </c>
      <c r="J399">
        <v>0</v>
      </c>
      <c r="K399">
        <v>0</v>
      </c>
    </row>
    <row r="400" spans="1:11" x14ac:dyDescent="0.25">
      <c r="A400">
        <v>2000</v>
      </c>
      <c r="B400" t="s">
        <v>20</v>
      </c>
      <c r="C400">
        <v>11</v>
      </c>
      <c r="D400">
        <v>5</v>
      </c>
      <c r="E400">
        <v>323</v>
      </c>
      <c r="F400">
        <v>226</v>
      </c>
      <c r="G400">
        <v>7.1</v>
      </c>
      <c r="H400">
        <v>0</v>
      </c>
      <c r="I400">
        <v>7.1</v>
      </c>
      <c r="J400">
        <v>1</v>
      </c>
      <c r="K400">
        <v>0</v>
      </c>
    </row>
    <row r="401" spans="1:11" x14ac:dyDescent="0.25">
      <c r="A401">
        <v>2000</v>
      </c>
      <c r="B401" t="s">
        <v>17</v>
      </c>
      <c r="C401">
        <v>10</v>
      </c>
      <c r="D401">
        <v>6</v>
      </c>
      <c r="E401">
        <v>429</v>
      </c>
      <c r="F401">
        <v>326</v>
      </c>
      <c r="G401">
        <v>7.9</v>
      </c>
      <c r="H401">
        <v>7.1</v>
      </c>
      <c r="I401">
        <v>0.8</v>
      </c>
      <c r="J401">
        <v>1</v>
      </c>
      <c r="K401">
        <v>0</v>
      </c>
    </row>
    <row r="402" spans="1:11" x14ac:dyDescent="0.25">
      <c r="A402">
        <v>2000</v>
      </c>
      <c r="B402" t="s">
        <v>37</v>
      </c>
      <c r="C402">
        <v>13</v>
      </c>
      <c r="D402">
        <v>3</v>
      </c>
      <c r="E402">
        <v>346</v>
      </c>
      <c r="F402">
        <v>191</v>
      </c>
      <c r="G402">
        <v>8.3000000000000007</v>
      </c>
      <c r="H402">
        <v>1.5</v>
      </c>
      <c r="I402">
        <v>6.8</v>
      </c>
      <c r="J402">
        <v>1</v>
      </c>
      <c r="K402">
        <v>0</v>
      </c>
    </row>
    <row r="403" spans="1:11" x14ac:dyDescent="0.25">
      <c r="A403">
        <v>2000</v>
      </c>
      <c r="B403" t="s">
        <v>27</v>
      </c>
      <c r="C403">
        <v>12</v>
      </c>
      <c r="D403">
        <v>4</v>
      </c>
      <c r="E403">
        <v>479</v>
      </c>
      <c r="F403">
        <v>299</v>
      </c>
      <c r="G403">
        <v>9.6999999999999993</v>
      </c>
      <c r="H403">
        <v>8</v>
      </c>
      <c r="I403">
        <v>1.8</v>
      </c>
      <c r="J403">
        <v>1</v>
      </c>
      <c r="K403">
        <v>0</v>
      </c>
    </row>
    <row r="404" spans="1:11" x14ac:dyDescent="0.25">
      <c r="A404">
        <v>2000</v>
      </c>
      <c r="B404" t="s">
        <v>14</v>
      </c>
      <c r="C404">
        <v>11</v>
      </c>
      <c r="D404">
        <v>5</v>
      </c>
      <c r="E404">
        <v>485</v>
      </c>
      <c r="F404">
        <v>369</v>
      </c>
      <c r="G404">
        <v>5</v>
      </c>
      <c r="H404">
        <v>7.8</v>
      </c>
      <c r="I404">
        <v>-2.7</v>
      </c>
      <c r="J404">
        <v>1</v>
      </c>
      <c r="K404">
        <v>0</v>
      </c>
    </row>
    <row r="405" spans="1:11" x14ac:dyDescent="0.25">
      <c r="A405">
        <v>2000</v>
      </c>
      <c r="B405" t="s">
        <v>24</v>
      </c>
      <c r="C405">
        <v>12</v>
      </c>
      <c r="D405">
        <v>4</v>
      </c>
      <c r="E405">
        <v>328</v>
      </c>
      <c r="F405">
        <v>246</v>
      </c>
      <c r="G405">
        <v>2.4</v>
      </c>
      <c r="H405">
        <v>-1.3</v>
      </c>
      <c r="I405">
        <v>3.8</v>
      </c>
      <c r="J405">
        <v>1</v>
      </c>
      <c r="K405">
        <v>0</v>
      </c>
    </row>
    <row r="406" spans="1:11" x14ac:dyDescent="0.25">
      <c r="A406">
        <v>2000</v>
      </c>
      <c r="B406" t="s">
        <v>28</v>
      </c>
      <c r="C406">
        <v>11</v>
      </c>
      <c r="D406">
        <v>5</v>
      </c>
      <c r="E406">
        <v>351</v>
      </c>
      <c r="F406">
        <v>245</v>
      </c>
      <c r="G406">
        <v>3.1</v>
      </c>
      <c r="H406">
        <v>1</v>
      </c>
      <c r="I406">
        <v>2.1</v>
      </c>
      <c r="J406">
        <v>1</v>
      </c>
      <c r="K406">
        <v>0</v>
      </c>
    </row>
    <row r="407" spans="1:11" x14ac:dyDescent="0.25">
      <c r="A407">
        <v>2000</v>
      </c>
      <c r="B407" t="s">
        <v>21</v>
      </c>
      <c r="C407">
        <v>11</v>
      </c>
      <c r="D407">
        <v>5</v>
      </c>
      <c r="E407">
        <v>397</v>
      </c>
      <c r="F407">
        <v>371</v>
      </c>
      <c r="G407">
        <v>1.9</v>
      </c>
      <c r="H407">
        <v>4.3</v>
      </c>
      <c r="I407">
        <v>-2.2999999999999998</v>
      </c>
      <c r="J407">
        <v>1</v>
      </c>
      <c r="K407">
        <v>0</v>
      </c>
    </row>
    <row r="408" spans="1:11" x14ac:dyDescent="0.25">
      <c r="A408">
        <v>2000</v>
      </c>
      <c r="B408" t="s">
        <v>36</v>
      </c>
      <c r="C408">
        <v>10</v>
      </c>
      <c r="D408">
        <v>6</v>
      </c>
      <c r="E408">
        <v>388</v>
      </c>
      <c r="F408">
        <v>269</v>
      </c>
      <c r="G408">
        <v>7.3</v>
      </c>
      <c r="H408">
        <v>3.4</v>
      </c>
      <c r="I408">
        <v>3.9</v>
      </c>
      <c r="J408">
        <v>1</v>
      </c>
      <c r="K408">
        <v>0</v>
      </c>
    </row>
    <row r="409" spans="1:11" x14ac:dyDescent="0.25">
      <c r="A409">
        <v>2000</v>
      </c>
      <c r="B409" t="s">
        <v>23</v>
      </c>
      <c r="C409">
        <v>10</v>
      </c>
      <c r="D409">
        <v>6</v>
      </c>
      <c r="E409">
        <v>354</v>
      </c>
      <c r="F409">
        <v>305</v>
      </c>
      <c r="G409">
        <v>0.9</v>
      </c>
      <c r="H409">
        <v>-1.2</v>
      </c>
      <c r="I409">
        <v>2.1</v>
      </c>
      <c r="J409">
        <v>1</v>
      </c>
      <c r="K409">
        <v>0</v>
      </c>
    </row>
    <row r="410" spans="1:11" x14ac:dyDescent="0.25">
      <c r="A410">
        <v>2000</v>
      </c>
      <c r="B410" t="s">
        <v>35</v>
      </c>
      <c r="C410">
        <v>10</v>
      </c>
      <c r="D410">
        <v>6</v>
      </c>
      <c r="E410">
        <v>540</v>
      </c>
      <c r="F410">
        <v>471</v>
      </c>
      <c r="G410">
        <v>3.1</v>
      </c>
      <c r="H410">
        <v>12.6</v>
      </c>
      <c r="I410">
        <v>-9.5</v>
      </c>
      <c r="J410">
        <v>1</v>
      </c>
      <c r="K410">
        <v>0</v>
      </c>
    </row>
    <row r="411" spans="1:11" x14ac:dyDescent="0.25">
      <c r="A411">
        <v>2001</v>
      </c>
      <c r="B411" t="s">
        <v>20</v>
      </c>
      <c r="C411">
        <v>11</v>
      </c>
      <c r="D411">
        <v>5</v>
      </c>
      <c r="E411">
        <v>344</v>
      </c>
      <c r="F411">
        <v>290</v>
      </c>
      <c r="G411">
        <v>2.7</v>
      </c>
      <c r="H411">
        <v>-0.3</v>
      </c>
      <c r="I411">
        <v>3.1</v>
      </c>
      <c r="J411">
        <v>1</v>
      </c>
      <c r="K411">
        <v>0</v>
      </c>
    </row>
    <row r="412" spans="1:11" x14ac:dyDescent="0.25">
      <c r="A412">
        <v>2001</v>
      </c>
      <c r="B412" t="s">
        <v>25</v>
      </c>
      <c r="C412">
        <v>10</v>
      </c>
      <c r="D412">
        <v>6</v>
      </c>
      <c r="E412">
        <v>308</v>
      </c>
      <c r="F412">
        <v>295</v>
      </c>
      <c r="G412">
        <v>0.8</v>
      </c>
      <c r="H412">
        <v>-2</v>
      </c>
      <c r="I412">
        <v>2.8</v>
      </c>
      <c r="J412">
        <v>1</v>
      </c>
      <c r="K412">
        <v>0</v>
      </c>
    </row>
    <row r="413" spans="1:11" x14ac:dyDescent="0.25">
      <c r="A413">
        <v>2001</v>
      </c>
      <c r="B413" t="s">
        <v>29</v>
      </c>
      <c r="C413">
        <v>13</v>
      </c>
      <c r="D413">
        <v>3</v>
      </c>
      <c r="E413">
        <v>352</v>
      </c>
      <c r="F413">
        <v>212</v>
      </c>
      <c r="G413">
        <v>7.4</v>
      </c>
      <c r="H413">
        <v>1.5</v>
      </c>
      <c r="I413">
        <v>5.8</v>
      </c>
      <c r="J413">
        <v>1</v>
      </c>
      <c r="K413">
        <v>0</v>
      </c>
    </row>
    <row r="414" spans="1:11" x14ac:dyDescent="0.25">
      <c r="A414">
        <v>2001</v>
      </c>
      <c r="B414" t="s">
        <v>7</v>
      </c>
      <c r="C414">
        <v>10</v>
      </c>
      <c r="D414">
        <v>6</v>
      </c>
      <c r="E414">
        <v>303</v>
      </c>
      <c r="F414">
        <v>265</v>
      </c>
      <c r="G414">
        <v>3.2</v>
      </c>
      <c r="H414">
        <v>-0.8</v>
      </c>
      <c r="I414">
        <v>4</v>
      </c>
      <c r="J414">
        <v>1</v>
      </c>
      <c r="K414">
        <v>0</v>
      </c>
    </row>
    <row r="415" spans="1:11" x14ac:dyDescent="0.25">
      <c r="A415">
        <v>2001</v>
      </c>
      <c r="B415" t="s">
        <v>27</v>
      </c>
      <c r="C415">
        <v>10</v>
      </c>
      <c r="D415">
        <v>6</v>
      </c>
      <c r="E415">
        <v>399</v>
      </c>
      <c r="F415">
        <v>327</v>
      </c>
      <c r="G415">
        <v>3.6</v>
      </c>
      <c r="H415">
        <v>4</v>
      </c>
      <c r="I415">
        <v>-0.4</v>
      </c>
      <c r="J415">
        <v>1</v>
      </c>
      <c r="K415">
        <v>0</v>
      </c>
    </row>
    <row r="416" spans="1:11" x14ac:dyDescent="0.25">
      <c r="A416">
        <v>2001</v>
      </c>
      <c r="B416" t="s">
        <v>28</v>
      </c>
      <c r="C416">
        <v>11</v>
      </c>
      <c r="D416">
        <v>5</v>
      </c>
      <c r="E416">
        <v>343</v>
      </c>
      <c r="F416">
        <v>208</v>
      </c>
      <c r="G416">
        <v>7.7</v>
      </c>
      <c r="H416">
        <v>0.9</v>
      </c>
      <c r="I416">
        <v>6.8</v>
      </c>
      <c r="J416">
        <v>1</v>
      </c>
      <c r="K416">
        <v>0</v>
      </c>
    </row>
    <row r="417" spans="1:11" x14ac:dyDescent="0.25">
      <c r="A417">
        <v>2001</v>
      </c>
      <c r="B417" t="s">
        <v>10</v>
      </c>
      <c r="C417">
        <v>13</v>
      </c>
      <c r="D417">
        <v>3</v>
      </c>
      <c r="E417">
        <v>338</v>
      </c>
      <c r="F417">
        <v>203</v>
      </c>
      <c r="G417">
        <v>7.9</v>
      </c>
      <c r="H417">
        <v>0.9</v>
      </c>
      <c r="I417">
        <v>7.1</v>
      </c>
      <c r="J417">
        <v>1</v>
      </c>
      <c r="K417">
        <v>0</v>
      </c>
    </row>
    <row r="418" spans="1:11" x14ac:dyDescent="0.25">
      <c r="A418">
        <v>2001</v>
      </c>
      <c r="B418" t="s">
        <v>16</v>
      </c>
      <c r="C418">
        <v>12</v>
      </c>
      <c r="D418">
        <v>4</v>
      </c>
      <c r="E418">
        <v>390</v>
      </c>
      <c r="F418">
        <v>266</v>
      </c>
      <c r="G418">
        <v>6.6</v>
      </c>
      <c r="H418">
        <v>4</v>
      </c>
      <c r="I418">
        <v>2.6</v>
      </c>
      <c r="J418">
        <v>1</v>
      </c>
      <c r="K418">
        <v>0</v>
      </c>
    </row>
    <row r="419" spans="1:11" x14ac:dyDescent="0.25">
      <c r="A419">
        <v>2001</v>
      </c>
      <c r="B419" t="s">
        <v>36</v>
      </c>
      <c r="C419">
        <v>9</v>
      </c>
      <c r="D419">
        <v>7</v>
      </c>
      <c r="E419">
        <v>324</v>
      </c>
      <c r="F419">
        <v>280</v>
      </c>
      <c r="G419">
        <v>4</v>
      </c>
      <c r="H419">
        <v>0.7</v>
      </c>
      <c r="I419">
        <v>3.3</v>
      </c>
      <c r="J419">
        <v>1</v>
      </c>
      <c r="K419">
        <v>0</v>
      </c>
    </row>
    <row r="420" spans="1:11" x14ac:dyDescent="0.25">
      <c r="A420">
        <v>2001</v>
      </c>
      <c r="B420" t="s">
        <v>35</v>
      </c>
      <c r="C420">
        <v>14</v>
      </c>
      <c r="D420">
        <v>2</v>
      </c>
      <c r="E420">
        <v>503</v>
      </c>
      <c r="F420">
        <v>273</v>
      </c>
      <c r="G420">
        <v>13.4</v>
      </c>
      <c r="H420">
        <v>10.4</v>
      </c>
      <c r="I420">
        <v>2.9</v>
      </c>
      <c r="J420">
        <v>1</v>
      </c>
      <c r="K420">
        <v>0</v>
      </c>
    </row>
    <row r="421" spans="1:11" x14ac:dyDescent="0.25">
      <c r="A421">
        <v>2001</v>
      </c>
      <c r="B421" t="s">
        <v>32</v>
      </c>
      <c r="C421">
        <v>12</v>
      </c>
      <c r="D421">
        <v>4</v>
      </c>
      <c r="E421">
        <v>409</v>
      </c>
      <c r="F421">
        <v>282</v>
      </c>
      <c r="G421">
        <v>6.8</v>
      </c>
      <c r="H421">
        <v>4.2</v>
      </c>
      <c r="I421">
        <v>2.7</v>
      </c>
      <c r="J421">
        <v>1</v>
      </c>
      <c r="K421">
        <v>0</v>
      </c>
    </row>
    <row r="422" spans="1:11" x14ac:dyDescent="0.25">
      <c r="A422">
        <v>2002</v>
      </c>
      <c r="B422" t="s">
        <v>25</v>
      </c>
      <c r="C422">
        <v>9</v>
      </c>
      <c r="D422">
        <v>7</v>
      </c>
      <c r="E422">
        <v>359</v>
      </c>
      <c r="F422">
        <v>336</v>
      </c>
      <c r="G422">
        <v>3.2</v>
      </c>
      <c r="H422">
        <v>0.9</v>
      </c>
      <c r="I422">
        <v>2.2999999999999998</v>
      </c>
      <c r="J422">
        <v>1</v>
      </c>
      <c r="K422">
        <v>0</v>
      </c>
    </row>
    <row r="423" spans="1:11" x14ac:dyDescent="0.25">
      <c r="A423">
        <v>2002</v>
      </c>
      <c r="B423" t="s">
        <v>29</v>
      </c>
      <c r="C423">
        <v>10</v>
      </c>
      <c r="D423">
        <v>5</v>
      </c>
      <c r="E423">
        <v>390</v>
      </c>
      <c r="F423">
        <v>345</v>
      </c>
      <c r="G423">
        <v>2.7</v>
      </c>
      <c r="H423">
        <v>3.1</v>
      </c>
      <c r="I423">
        <v>-0.4</v>
      </c>
      <c r="J423">
        <v>1</v>
      </c>
      <c r="K423">
        <v>0</v>
      </c>
    </row>
    <row r="424" spans="1:11" x14ac:dyDescent="0.25">
      <c r="A424">
        <v>2002</v>
      </c>
      <c r="B424" t="s">
        <v>12</v>
      </c>
      <c r="C424">
        <v>9</v>
      </c>
      <c r="D424">
        <v>7</v>
      </c>
      <c r="E424">
        <v>344</v>
      </c>
      <c r="F424">
        <v>320</v>
      </c>
      <c r="G424">
        <v>1.2</v>
      </c>
      <c r="H424">
        <v>-0.4</v>
      </c>
      <c r="I424">
        <v>1.7</v>
      </c>
      <c r="J424">
        <v>1</v>
      </c>
      <c r="K424">
        <v>0</v>
      </c>
    </row>
    <row r="425" spans="1:11" x14ac:dyDescent="0.25">
      <c r="A425">
        <v>2002</v>
      </c>
      <c r="B425" t="s">
        <v>37</v>
      </c>
      <c r="C425">
        <v>11</v>
      </c>
      <c r="D425">
        <v>5</v>
      </c>
      <c r="E425">
        <v>367</v>
      </c>
      <c r="F425">
        <v>324</v>
      </c>
      <c r="G425">
        <v>1.8</v>
      </c>
      <c r="H425">
        <v>1.6</v>
      </c>
      <c r="I425">
        <v>0.1</v>
      </c>
      <c r="J425">
        <v>1</v>
      </c>
      <c r="K425">
        <v>0</v>
      </c>
    </row>
    <row r="426" spans="1:11" x14ac:dyDescent="0.25">
      <c r="A426">
        <v>2002</v>
      </c>
      <c r="B426" t="s">
        <v>17</v>
      </c>
      <c r="C426">
        <v>10</v>
      </c>
      <c r="D426">
        <v>6</v>
      </c>
      <c r="E426">
        <v>349</v>
      </c>
      <c r="F426">
        <v>313</v>
      </c>
      <c r="G426">
        <v>1.2</v>
      </c>
      <c r="H426">
        <v>0.4</v>
      </c>
      <c r="I426">
        <v>0.7</v>
      </c>
      <c r="J426">
        <v>1</v>
      </c>
      <c r="K426">
        <v>0</v>
      </c>
    </row>
    <row r="427" spans="1:11" x14ac:dyDescent="0.25">
      <c r="A427">
        <v>2002</v>
      </c>
      <c r="B427" t="s">
        <v>27</v>
      </c>
      <c r="C427">
        <v>11</v>
      </c>
      <c r="D427">
        <v>5</v>
      </c>
      <c r="E427">
        <v>450</v>
      </c>
      <c r="F427">
        <v>304</v>
      </c>
      <c r="G427">
        <v>10.6</v>
      </c>
      <c r="H427">
        <v>6.3</v>
      </c>
      <c r="I427">
        <v>4.3</v>
      </c>
      <c r="J427">
        <v>1</v>
      </c>
      <c r="K427">
        <v>0</v>
      </c>
    </row>
    <row r="428" spans="1:11" x14ac:dyDescent="0.25">
      <c r="A428">
        <v>2002</v>
      </c>
      <c r="B428" t="s">
        <v>28</v>
      </c>
      <c r="C428">
        <v>12</v>
      </c>
      <c r="D428">
        <v>4</v>
      </c>
      <c r="E428">
        <v>415</v>
      </c>
      <c r="F428">
        <v>241</v>
      </c>
      <c r="G428">
        <v>8.3000000000000007</v>
      </c>
      <c r="H428">
        <v>4.5</v>
      </c>
      <c r="I428">
        <v>3.8</v>
      </c>
      <c r="J428">
        <v>1</v>
      </c>
      <c r="K428">
        <v>0</v>
      </c>
    </row>
    <row r="429" spans="1:11" x14ac:dyDescent="0.25">
      <c r="A429">
        <v>2002</v>
      </c>
      <c r="B429" t="s">
        <v>24</v>
      </c>
      <c r="C429">
        <v>10</v>
      </c>
      <c r="D429">
        <v>6</v>
      </c>
      <c r="E429">
        <v>320</v>
      </c>
      <c r="F429">
        <v>279</v>
      </c>
      <c r="G429">
        <v>0.8</v>
      </c>
      <c r="H429">
        <v>-2.2000000000000002</v>
      </c>
      <c r="I429">
        <v>3</v>
      </c>
      <c r="J429">
        <v>1</v>
      </c>
      <c r="K429">
        <v>0</v>
      </c>
    </row>
    <row r="430" spans="1:11" x14ac:dyDescent="0.25">
      <c r="A430">
        <v>2002</v>
      </c>
      <c r="B430" t="s">
        <v>16</v>
      </c>
      <c r="C430">
        <v>12</v>
      </c>
      <c r="D430">
        <v>4</v>
      </c>
      <c r="E430">
        <v>398</v>
      </c>
      <c r="F430">
        <v>328</v>
      </c>
      <c r="G430">
        <v>3.6</v>
      </c>
      <c r="H430">
        <v>2.4</v>
      </c>
      <c r="I430">
        <v>1.2</v>
      </c>
      <c r="J430">
        <v>1</v>
      </c>
      <c r="K430">
        <v>0</v>
      </c>
    </row>
    <row r="431" spans="1:11" x14ac:dyDescent="0.25">
      <c r="A431">
        <v>2002</v>
      </c>
      <c r="B431" t="s">
        <v>6</v>
      </c>
      <c r="C431">
        <v>9</v>
      </c>
      <c r="D431">
        <v>6</v>
      </c>
      <c r="E431">
        <v>402</v>
      </c>
      <c r="F431">
        <v>314</v>
      </c>
      <c r="G431">
        <v>5.0999999999999996</v>
      </c>
      <c r="H431">
        <v>3.5</v>
      </c>
      <c r="I431">
        <v>1.5</v>
      </c>
      <c r="J431">
        <v>1</v>
      </c>
      <c r="K431">
        <v>0</v>
      </c>
    </row>
    <row r="432" spans="1:11" x14ac:dyDescent="0.25">
      <c r="A432">
        <v>2002</v>
      </c>
      <c r="B432" t="s">
        <v>32</v>
      </c>
      <c r="C432">
        <v>10</v>
      </c>
      <c r="D432">
        <v>6</v>
      </c>
      <c r="E432">
        <v>367</v>
      </c>
      <c r="F432">
        <v>351</v>
      </c>
      <c r="G432">
        <v>0.6</v>
      </c>
      <c r="H432">
        <v>0.7</v>
      </c>
      <c r="I432">
        <v>-0.1</v>
      </c>
      <c r="J432">
        <v>1</v>
      </c>
      <c r="K432">
        <v>0</v>
      </c>
    </row>
    <row r="433" spans="1:11" x14ac:dyDescent="0.25">
      <c r="A433">
        <v>2003</v>
      </c>
      <c r="B433" t="s">
        <v>7</v>
      </c>
      <c r="C433">
        <v>10</v>
      </c>
      <c r="D433">
        <v>6</v>
      </c>
      <c r="E433">
        <v>391</v>
      </c>
      <c r="F433">
        <v>281</v>
      </c>
      <c r="G433">
        <v>6.3</v>
      </c>
      <c r="H433">
        <v>3.3</v>
      </c>
      <c r="I433">
        <v>3</v>
      </c>
      <c r="J433">
        <v>1</v>
      </c>
      <c r="K433">
        <v>0</v>
      </c>
    </row>
    <row r="434" spans="1:11" x14ac:dyDescent="0.25">
      <c r="A434">
        <v>2003</v>
      </c>
      <c r="B434" t="s">
        <v>17</v>
      </c>
      <c r="C434">
        <v>12</v>
      </c>
      <c r="D434">
        <v>4</v>
      </c>
      <c r="E434">
        <v>447</v>
      </c>
      <c r="F434">
        <v>336</v>
      </c>
      <c r="G434">
        <v>7</v>
      </c>
      <c r="H434">
        <v>8.1999999999999993</v>
      </c>
      <c r="I434">
        <v>-1.2</v>
      </c>
      <c r="J434">
        <v>1</v>
      </c>
      <c r="K434">
        <v>0</v>
      </c>
    </row>
    <row r="435" spans="1:11" x14ac:dyDescent="0.25">
      <c r="A435">
        <v>2003</v>
      </c>
      <c r="B435" t="s">
        <v>37</v>
      </c>
      <c r="C435">
        <v>12</v>
      </c>
      <c r="D435">
        <v>4</v>
      </c>
      <c r="E435">
        <v>435</v>
      </c>
      <c r="F435">
        <v>324</v>
      </c>
      <c r="G435">
        <v>6.5</v>
      </c>
      <c r="H435">
        <v>7</v>
      </c>
      <c r="I435">
        <v>-0.5</v>
      </c>
      <c r="J435">
        <v>1</v>
      </c>
      <c r="K435">
        <v>0</v>
      </c>
    </row>
    <row r="436" spans="1:11" x14ac:dyDescent="0.25">
      <c r="A436">
        <v>2003</v>
      </c>
      <c r="B436" t="s">
        <v>19</v>
      </c>
      <c r="C436">
        <v>13</v>
      </c>
      <c r="D436">
        <v>3</v>
      </c>
      <c r="E436">
        <v>484</v>
      </c>
      <c r="F436">
        <v>332</v>
      </c>
      <c r="G436">
        <v>8.3000000000000007</v>
      </c>
      <c r="H436">
        <v>9.1999999999999993</v>
      </c>
      <c r="I436">
        <v>-0.9</v>
      </c>
      <c r="J436">
        <v>1</v>
      </c>
      <c r="K436">
        <v>0</v>
      </c>
    </row>
    <row r="437" spans="1:11" x14ac:dyDescent="0.25">
      <c r="A437">
        <v>2003</v>
      </c>
      <c r="B437" t="s">
        <v>14</v>
      </c>
      <c r="C437">
        <v>10</v>
      </c>
      <c r="D437">
        <v>6</v>
      </c>
      <c r="E437">
        <v>381</v>
      </c>
      <c r="F437">
        <v>301</v>
      </c>
      <c r="G437">
        <v>5.5</v>
      </c>
      <c r="H437">
        <v>2.4</v>
      </c>
      <c r="I437">
        <v>3.1</v>
      </c>
      <c r="J437">
        <v>1</v>
      </c>
      <c r="K437">
        <v>0</v>
      </c>
    </row>
    <row r="438" spans="1:11" x14ac:dyDescent="0.25">
      <c r="A438">
        <v>2003</v>
      </c>
      <c r="B438" t="s">
        <v>28</v>
      </c>
      <c r="C438">
        <v>12</v>
      </c>
      <c r="D438">
        <v>4</v>
      </c>
      <c r="E438">
        <v>374</v>
      </c>
      <c r="F438">
        <v>287</v>
      </c>
      <c r="G438">
        <v>4.4000000000000004</v>
      </c>
      <c r="H438">
        <v>2.9</v>
      </c>
      <c r="I438">
        <v>1.5</v>
      </c>
      <c r="J438">
        <v>1</v>
      </c>
      <c r="K438">
        <v>0</v>
      </c>
    </row>
    <row r="439" spans="1:11" x14ac:dyDescent="0.25">
      <c r="A439">
        <v>2003</v>
      </c>
      <c r="B439" t="s">
        <v>13</v>
      </c>
      <c r="C439">
        <v>10</v>
      </c>
      <c r="D439">
        <v>6</v>
      </c>
      <c r="E439">
        <v>289</v>
      </c>
      <c r="F439">
        <v>260</v>
      </c>
      <c r="G439">
        <v>-0.5</v>
      </c>
      <c r="H439">
        <v>-3.2</v>
      </c>
      <c r="I439">
        <v>2.7</v>
      </c>
      <c r="J439">
        <v>1</v>
      </c>
      <c r="K439">
        <v>0</v>
      </c>
    </row>
    <row r="440" spans="1:11" x14ac:dyDescent="0.25">
      <c r="A440">
        <v>2003</v>
      </c>
      <c r="B440" t="s">
        <v>16</v>
      </c>
      <c r="C440">
        <v>10</v>
      </c>
      <c r="D440">
        <v>6</v>
      </c>
      <c r="E440">
        <v>442</v>
      </c>
      <c r="F440">
        <v>307</v>
      </c>
      <c r="G440">
        <v>8.1</v>
      </c>
      <c r="H440">
        <v>6.2</v>
      </c>
      <c r="I440">
        <v>1.9</v>
      </c>
      <c r="J440">
        <v>1</v>
      </c>
      <c r="K440">
        <v>0</v>
      </c>
    </row>
    <row r="441" spans="1:11" x14ac:dyDescent="0.25">
      <c r="A441">
        <v>2003</v>
      </c>
      <c r="B441" t="s">
        <v>9</v>
      </c>
      <c r="C441">
        <v>11</v>
      </c>
      <c r="D441">
        <v>5</v>
      </c>
      <c r="E441">
        <v>325</v>
      </c>
      <c r="F441">
        <v>304</v>
      </c>
      <c r="G441">
        <v>-0.9</v>
      </c>
      <c r="H441">
        <v>-1.5</v>
      </c>
      <c r="I441">
        <v>0.6</v>
      </c>
      <c r="J441">
        <v>1</v>
      </c>
      <c r="K441">
        <v>0</v>
      </c>
    </row>
    <row r="442" spans="1:11" x14ac:dyDescent="0.25">
      <c r="A442">
        <v>2003</v>
      </c>
      <c r="B442" t="s">
        <v>35</v>
      </c>
      <c r="C442">
        <v>12</v>
      </c>
      <c r="D442">
        <v>4</v>
      </c>
      <c r="E442">
        <v>447</v>
      </c>
      <c r="F442">
        <v>328</v>
      </c>
      <c r="G442">
        <v>5.9</v>
      </c>
      <c r="H442">
        <v>6</v>
      </c>
      <c r="I442">
        <v>-0.2</v>
      </c>
      <c r="J442">
        <v>1</v>
      </c>
      <c r="K442">
        <v>0</v>
      </c>
    </row>
    <row r="443" spans="1:11" x14ac:dyDescent="0.25">
      <c r="A443">
        <v>2003</v>
      </c>
      <c r="B443" t="s">
        <v>33</v>
      </c>
      <c r="C443">
        <v>10</v>
      </c>
      <c r="D443">
        <v>6</v>
      </c>
      <c r="E443">
        <v>404</v>
      </c>
      <c r="F443">
        <v>327</v>
      </c>
      <c r="G443">
        <v>4.0999999999999996</v>
      </c>
      <c r="H443">
        <v>3.6</v>
      </c>
      <c r="I443">
        <v>0.5</v>
      </c>
      <c r="J443">
        <v>1</v>
      </c>
      <c r="K443">
        <v>0</v>
      </c>
    </row>
    <row r="444" spans="1:11" x14ac:dyDescent="0.25">
      <c r="A444">
        <v>2004</v>
      </c>
      <c r="B444" t="s">
        <v>25</v>
      </c>
      <c r="C444">
        <v>10</v>
      </c>
      <c r="D444">
        <v>6</v>
      </c>
      <c r="E444">
        <v>333</v>
      </c>
      <c r="F444">
        <v>261</v>
      </c>
      <c r="G444">
        <v>6.6</v>
      </c>
      <c r="H444">
        <v>0.5</v>
      </c>
      <c r="I444">
        <v>6</v>
      </c>
      <c r="J444">
        <v>1</v>
      </c>
      <c r="K444">
        <v>0</v>
      </c>
    </row>
    <row r="445" spans="1:11" x14ac:dyDescent="0.25">
      <c r="A445">
        <v>2004</v>
      </c>
      <c r="B445" t="s">
        <v>29</v>
      </c>
      <c r="C445">
        <v>15</v>
      </c>
      <c r="D445">
        <v>1</v>
      </c>
      <c r="E445">
        <v>372</v>
      </c>
      <c r="F445">
        <v>251</v>
      </c>
      <c r="G445">
        <v>9</v>
      </c>
      <c r="H445">
        <v>3.4</v>
      </c>
      <c r="I445">
        <v>5.6</v>
      </c>
      <c r="J445">
        <v>1</v>
      </c>
      <c r="K445">
        <v>0</v>
      </c>
    </row>
    <row r="446" spans="1:11" x14ac:dyDescent="0.25">
      <c r="A446">
        <v>2004</v>
      </c>
      <c r="B446" t="s">
        <v>17</v>
      </c>
      <c r="C446">
        <v>12</v>
      </c>
      <c r="D446">
        <v>4</v>
      </c>
      <c r="E446">
        <v>522</v>
      </c>
      <c r="F446">
        <v>351</v>
      </c>
      <c r="G446">
        <v>11.4</v>
      </c>
      <c r="H446">
        <v>11.7</v>
      </c>
      <c r="I446">
        <v>-0.3</v>
      </c>
      <c r="J446">
        <v>1</v>
      </c>
      <c r="K446">
        <v>0</v>
      </c>
    </row>
    <row r="447" spans="1:11" x14ac:dyDescent="0.25">
      <c r="A447">
        <v>2004</v>
      </c>
      <c r="B447" t="s">
        <v>31</v>
      </c>
      <c r="C447">
        <v>12</v>
      </c>
      <c r="D447">
        <v>4</v>
      </c>
      <c r="E447">
        <v>446</v>
      </c>
      <c r="F447">
        <v>313</v>
      </c>
      <c r="G447">
        <v>9.1</v>
      </c>
      <c r="H447">
        <v>6.1</v>
      </c>
      <c r="I447">
        <v>3</v>
      </c>
      <c r="J447">
        <v>1</v>
      </c>
      <c r="K447">
        <v>0</v>
      </c>
    </row>
    <row r="448" spans="1:11" x14ac:dyDescent="0.25">
      <c r="A448">
        <v>2004</v>
      </c>
      <c r="B448" t="s">
        <v>14</v>
      </c>
      <c r="C448">
        <v>10</v>
      </c>
      <c r="D448">
        <v>6</v>
      </c>
      <c r="E448">
        <v>381</v>
      </c>
      <c r="F448">
        <v>304</v>
      </c>
      <c r="G448">
        <v>5.9</v>
      </c>
      <c r="H448">
        <v>1.6</v>
      </c>
      <c r="I448">
        <v>4.3</v>
      </c>
      <c r="J448">
        <v>1</v>
      </c>
      <c r="K448">
        <v>0</v>
      </c>
    </row>
    <row r="449" spans="1:11" x14ac:dyDescent="0.25">
      <c r="A449">
        <v>2004</v>
      </c>
      <c r="B449" t="s">
        <v>28</v>
      </c>
      <c r="C449">
        <v>13</v>
      </c>
      <c r="D449">
        <v>3</v>
      </c>
      <c r="E449">
        <v>386</v>
      </c>
      <c r="F449">
        <v>260</v>
      </c>
      <c r="G449">
        <v>5.6</v>
      </c>
      <c r="H449">
        <v>2</v>
      </c>
      <c r="I449">
        <v>3.5</v>
      </c>
      <c r="J449">
        <v>1</v>
      </c>
      <c r="K449">
        <v>0</v>
      </c>
    </row>
    <row r="450" spans="1:11" x14ac:dyDescent="0.25">
      <c r="A450">
        <v>2004</v>
      </c>
      <c r="B450" t="s">
        <v>16</v>
      </c>
      <c r="C450">
        <v>10</v>
      </c>
      <c r="D450">
        <v>6</v>
      </c>
      <c r="E450">
        <v>424</v>
      </c>
      <c r="F450">
        <v>380</v>
      </c>
      <c r="G450">
        <v>0.3</v>
      </c>
      <c r="H450">
        <v>4.3</v>
      </c>
      <c r="I450">
        <v>-4</v>
      </c>
      <c r="J450">
        <v>1</v>
      </c>
      <c r="K450">
        <v>0</v>
      </c>
    </row>
    <row r="451" spans="1:11" x14ac:dyDescent="0.25">
      <c r="A451">
        <v>2004</v>
      </c>
      <c r="B451" t="s">
        <v>21</v>
      </c>
      <c r="C451">
        <v>8</v>
      </c>
      <c r="D451">
        <v>8</v>
      </c>
      <c r="E451">
        <v>405</v>
      </c>
      <c r="F451">
        <v>395</v>
      </c>
      <c r="G451">
        <v>-1.7</v>
      </c>
      <c r="H451">
        <v>3</v>
      </c>
      <c r="I451">
        <v>-4.7</v>
      </c>
      <c r="J451">
        <v>1</v>
      </c>
      <c r="K451">
        <v>0</v>
      </c>
    </row>
    <row r="452" spans="1:11" x14ac:dyDescent="0.25">
      <c r="A452">
        <v>2004</v>
      </c>
      <c r="B452" t="s">
        <v>6</v>
      </c>
      <c r="C452">
        <v>11</v>
      </c>
      <c r="D452">
        <v>5</v>
      </c>
      <c r="E452">
        <v>340</v>
      </c>
      <c r="F452">
        <v>337</v>
      </c>
      <c r="G452">
        <v>-2.2000000000000002</v>
      </c>
      <c r="H452">
        <v>-1.8</v>
      </c>
      <c r="I452">
        <v>-0.4</v>
      </c>
      <c r="J452">
        <v>1</v>
      </c>
      <c r="K452">
        <v>0</v>
      </c>
    </row>
    <row r="453" spans="1:11" x14ac:dyDescent="0.25">
      <c r="A453">
        <v>2004</v>
      </c>
      <c r="B453" t="s">
        <v>33</v>
      </c>
      <c r="C453">
        <v>9</v>
      </c>
      <c r="D453">
        <v>7</v>
      </c>
      <c r="E453">
        <v>371</v>
      </c>
      <c r="F453">
        <v>373</v>
      </c>
      <c r="G453">
        <v>-2.9</v>
      </c>
      <c r="H453">
        <v>0.4</v>
      </c>
      <c r="I453">
        <v>-3.3</v>
      </c>
      <c r="J453">
        <v>1</v>
      </c>
      <c r="K453">
        <v>0</v>
      </c>
    </row>
    <row r="454" spans="1:11" x14ac:dyDescent="0.25">
      <c r="A454">
        <v>2004</v>
      </c>
      <c r="B454" t="s">
        <v>35</v>
      </c>
      <c r="C454">
        <v>8</v>
      </c>
      <c r="D454">
        <v>8</v>
      </c>
      <c r="E454">
        <v>319</v>
      </c>
      <c r="F454">
        <v>392</v>
      </c>
      <c r="G454">
        <v>-6</v>
      </c>
      <c r="H454">
        <v>-2.2000000000000002</v>
      </c>
      <c r="I454">
        <v>-3.8</v>
      </c>
      <c r="J454">
        <v>1</v>
      </c>
      <c r="K454">
        <v>0</v>
      </c>
    </row>
    <row r="455" spans="1:11" x14ac:dyDescent="0.25">
      <c r="A455">
        <v>2005</v>
      </c>
      <c r="B455" t="s">
        <v>22</v>
      </c>
      <c r="C455">
        <v>10</v>
      </c>
      <c r="D455">
        <v>6</v>
      </c>
      <c r="E455">
        <v>379</v>
      </c>
      <c r="F455">
        <v>338</v>
      </c>
      <c r="G455">
        <v>3.1</v>
      </c>
      <c r="H455">
        <v>3.7</v>
      </c>
      <c r="I455">
        <v>-0.5</v>
      </c>
      <c r="J455">
        <v>1</v>
      </c>
      <c r="K455">
        <v>0</v>
      </c>
    </row>
    <row r="456" spans="1:11" x14ac:dyDescent="0.25">
      <c r="A456">
        <v>2005</v>
      </c>
      <c r="B456" t="s">
        <v>11</v>
      </c>
      <c r="C456">
        <v>11</v>
      </c>
      <c r="D456">
        <v>5</v>
      </c>
      <c r="E456">
        <v>421</v>
      </c>
      <c r="F456">
        <v>350</v>
      </c>
      <c r="G456">
        <v>3.8</v>
      </c>
      <c r="H456">
        <v>6.5</v>
      </c>
      <c r="I456">
        <v>-2.7</v>
      </c>
      <c r="J456">
        <v>1</v>
      </c>
      <c r="K456">
        <v>0</v>
      </c>
    </row>
    <row r="457" spans="1:11" x14ac:dyDescent="0.25">
      <c r="A457">
        <v>2005</v>
      </c>
      <c r="B457" t="s">
        <v>17</v>
      </c>
      <c r="C457">
        <v>14</v>
      </c>
      <c r="D457">
        <v>2</v>
      </c>
      <c r="E457">
        <v>439</v>
      </c>
      <c r="F457">
        <v>247</v>
      </c>
      <c r="G457">
        <v>10.8</v>
      </c>
      <c r="H457">
        <v>5.6</v>
      </c>
      <c r="I457">
        <v>5.2</v>
      </c>
      <c r="J457">
        <v>1</v>
      </c>
      <c r="K457">
        <v>0</v>
      </c>
    </row>
    <row r="458" spans="1:11" x14ac:dyDescent="0.25">
      <c r="A458">
        <v>2005</v>
      </c>
      <c r="B458" t="s">
        <v>18</v>
      </c>
      <c r="C458">
        <v>12</v>
      </c>
      <c r="D458">
        <v>4</v>
      </c>
      <c r="E458">
        <v>361</v>
      </c>
      <c r="F458">
        <v>269</v>
      </c>
      <c r="G458">
        <v>4.8</v>
      </c>
      <c r="H458">
        <v>1.1000000000000001</v>
      </c>
      <c r="I458">
        <v>3.7</v>
      </c>
      <c r="J458">
        <v>1</v>
      </c>
      <c r="K458">
        <v>0</v>
      </c>
    </row>
    <row r="459" spans="1:11" x14ac:dyDescent="0.25">
      <c r="A459">
        <v>2005</v>
      </c>
      <c r="B459" t="s">
        <v>14</v>
      </c>
      <c r="C459">
        <v>13</v>
      </c>
      <c r="D459">
        <v>3</v>
      </c>
      <c r="E459">
        <v>395</v>
      </c>
      <c r="F459">
        <v>258</v>
      </c>
      <c r="G459">
        <v>10.8</v>
      </c>
      <c r="H459">
        <v>5</v>
      </c>
      <c r="I459">
        <v>5.8</v>
      </c>
      <c r="J459">
        <v>1</v>
      </c>
      <c r="K459">
        <v>0</v>
      </c>
    </row>
    <row r="460" spans="1:11" x14ac:dyDescent="0.25">
      <c r="A460">
        <v>2005</v>
      </c>
      <c r="B460" t="s">
        <v>24</v>
      </c>
      <c r="C460">
        <v>11</v>
      </c>
      <c r="D460">
        <v>5</v>
      </c>
      <c r="E460">
        <v>422</v>
      </c>
      <c r="F460">
        <v>314</v>
      </c>
      <c r="G460">
        <v>7.5</v>
      </c>
      <c r="H460">
        <v>5.8</v>
      </c>
      <c r="I460">
        <v>1.7</v>
      </c>
      <c r="J460">
        <v>1</v>
      </c>
      <c r="K460">
        <v>0</v>
      </c>
    </row>
    <row r="461" spans="1:11" x14ac:dyDescent="0.25">
      <c r="A461">
        <v>2005</v>
      </c>
      <c r="B461" t="s">
        <v>38</v>
      </c>
      <c r="C461">
        <v>10</v>
      </c>
      <c r="D461">
        <v>6</v>
      </c>
      <c r="E461">
        <v>359</v>
      </c>
      <c r="F461">
        <v>293</v>
      </c>
      <c r="G461">
        <v>6</v>
      </c>
      <c r="H461">
        <v>2.6</v>
      </c>
      <c r="I461">
        <v>3.4</v>
      </c>
      <c r="J461">
        <v>1</v>
      </c>
      <c r="K461">
        <v>0</v>
      </c>
    </row>
    <row r="462" spans="1:11" x14ac:dyDescent="0.25">
      <c r="A462">
        <v>2005</v>
      </c>
      <c r="B462" t="s">
        <v>10</v>
      </c>
      <c r="C462">
        <v>11</v>
      </c>
      <c r="D462">
        <v>5</v>
      </c>
      <c r="E462">
        <v>260</v>
      </c>
      <c r="F462">
        <v>202</v>
      </c>
      <c r="G462">
        <v>1.4</v>
      </c>
      <c r="H462">
        <v>-5.2</v>
      </c>
      <c r="I462">
        <v>6.6</v>
      </c>
      <c r="J462">
        <v>1</v>
      </c>
      <c r="K462">
        <v>0</v>
      </c>
    </row>
    <row r="463" spans="1:11" x14ac:dyDescent="0.25">
      <c r="A463">
        <v>2005</v>
      </c>
      <c r="B463" t="s">
        <v>36</v>
      </c>
      <c r="C463">
        <v>11</v>
      </c>
      <c r="D463">
        <v>5</v>
      </c>
      <c r="E463">
        <v>300</v>
      </c>
      <c r="F463">
        <v>274</v>
      </c>
      <c r="G463">
        <v>-1</v>
      </c>
      <c r="H463">
        <v>-2.8</v>
      </c>
      <c r="I463">
        <v>1.8</v>
      </c>
      <c r="J463">
        <v>1</v>
      </c>
      <c r="K463">
        <v>0</v>
      </c>
    </row>
    <row r="464" spans="1:11" x14ac:dyDescent="0.25">
      <c r="A464">
        <v>2005</v>
      </c>
      <c r="B464" t="s">
        <v>9</v>
      </c>
      <c r="C464">
        <v>11</v>
      </c>
      <c r="D464">
        <v>5</v>
      </c>
      <c r="E464">
        <v>391</v>
      </c>
      <c r="F464">
        <v>259</v>
      </c>
      <c r="G464">
        <v>5.0999999999999996</v>
      </c>
      <c r="H464">
        <v>3</v>
      </c>
      <c r="I464">
        <v>2.1</v>
      </c>
      <c r="J464">
        <v>1</v>
      </c>
      <c r="K464">
        <v>0</v>
      </c>
    </row>
    <row r="465" spans="1:11" x14ac:dyDescent="0.25">
      <c r="A465">
        <v>2005</v>
      </c>
      <c r="B465" t="s">
        <v>33</v>
      </c>
      <c r="C465">
        <v>13</v>
      </c>
      <c r="D465">
        <v>3</v>
      </c>
      <c r="E465">
        <v>452</v>
      </c>
      <c r="F465">
        <v>271</v>
      </c>
      <c r="G465">
        <v>9.1</v>
      </c>
      <c r="H465">
        <v>5.8</v>
      </c>
      <c r="I465">
        <v>3.4</v>
      </c>
      <c r="J465">
        <v>1</v>
      </c>
      <c r="K465">
        <v>0</v>
      </c>
    </row>
    <row r="466" spans="1:11" x14ac:dyDescent="0.25">
      <c r="A466">
        <v>2006</v>
      </c>
      <c r="B466" t="s">
        <v>22</v>
      </c>
      <c r="C466">
        <v>12</v>
      </c>
      <c r="D466">
        <v>4</v>
      </c>
      <c r="E466">
        <v>385</v>
      </c>
      <c r="F466">
        <v>237</v>
      </c>
      <c r="G466">
        <v>10.199999999999999</v>
      </c>
      <c r="H466">
        <v>4.3</v>
      </c>
      <c r="I466">
        <v>5.9</v>
      </c>
      <c r="J466">
        <v>1</v>
      </c>
      <c r="K466">
        <v>0</v>
      </c>
    </row>
    <row r="467" spans="1:11" x14ac:dyDescent="0.25">
      <c r="A467">
        <v>2006</v>
      </c>
      <c r="B467" t="s">
        <v>25</v>
      </c>
      <c r="C467">
        <v>10</v>
      </c>
      <c r="D467">
        <v>6</v>
      </c>
      <c r="E467">
        <v>316</v>
      </c>
      <c r="F467">
        <v>295</v>
      </c>
      <c r="G467">
        <v>2</v>
      </c>
      <c r="H467">
        <v>0.4</v>
      </c>
      <c r="I467">
        <v>1.7</v>
      </c>
      <c r="J467">
        <v>1</v>
      </c>
      <c r="K467">
        <v>0</v>
      </c>
    </row>
    <row r="468" spans="1:11" x14ac:dyDescent="0.25">
      <c r="A468">
        <v>2006</v>
      </c>
      <c r="B468" t="s">
        <v>7</v>
      </c>
      <c r="C468">
        <v>13</v>
      </c>
      <c r="D468">
        <v>3</v>
      </c>
      <c r="E468">
        <v>353</v>
      </c>
      <c r="F468">
        <v>201</v>
      </c>
      <c r="G468">
        <v>9.3000000000000007</v>
      </c>
      <c r="H468">
        <v>1.5</v>
      </c>
      <c r="I468">
        <v>7.8</v>
      </c>
      <c r="J468">
        <v>1</v>
      </c>
      <c r="K468">
        <v>0</v>
      </c>
    </row>
    <row r="469" spans="1:11" x14ac:dyDescent="0.25">
      <c r="A469">
        <v>2006</v>
      </c>
      <c r="B469" t="s">
        <v>31</v>
      </c>
      <c r="C469">
        <v>14</v>
      </c>
      <c r="D469">
        <v>2</v>
      </c>
      <c r="E469">
        <v>492</v>
      </c>
      <c r="F469">
        <v>303</v>
      </c>
      <c r="G469">
        <v>10.199999999999999</v>
      </c>
      <c r="H469">
        <v>10</v>
      </c>
      <c r="I469">
        <v>0.2</v>
      </c>
      <c r="J469">
        <v>1</v>
      </c>
      <c r="K469">
        <v>0</v>
      </c>
    </row>
    <row r="470" spans="1:11" x14ac:dyDescent="0.25">
      <c r="A470">
        <v>2006</v>
      </c>
      <c r="B470" t="s">
        <v>19</v>
      </c>
      <c r="C470">
        <v>9</v>
      </c>
      <c r="D470">
        <v>7</v>
      </c>
      <c r="E470">
        <v>331</v>
      </c>
      <c r="F470">
        <v>315</v>
      </c>
      <c r="G470">
        <v>1</v>
      </c>
      <c r="H470">
        <v>0.4</v>
      </c>
      <c r="I470">
        <v>0.6</v>
      </c>
      <c r="J470">
        <v>1</v>
      </c>
      <c r="K470">
        <v>0</v>
      </c>
    </row>
    <row r="471" spans="1:11" x14ac:dyDescent="0.25">
      <c r="A471">
        <v>2006</v>
      </c>
      <c r="B471" t="s">
        <v>28</v>
      </c>
      <c r="C471">
        <v>10</v>
      </c>
      <c r="D471">
        <v>6</v>
      </c>
      <c r="E471">
        <v>398</v>
      </c>
      <c r="F471">
        <v>328</v>
      </c>
      <c r="G471">
        <v>3.4</v>
      </c>
      <c r="H471">
        <v>3.2</v>
      </c>
      <c r="I471">
        <v>0.2</v>
      </c>
      <c r="J471">
        <v>1</v>
      </c>
      <c r="K471">
        <v>0</v>
      </c>
    </row>
    <row r="472" spans="1:11" x14ac:dyDescent="0.25">
      <c r="A472">
        <v>2006</v>
      </c>
      <c r="B472" t="s">
        <v>13</v>
      </c>
      <c r="C472">
        <v>9</v>
      </c>
      <c r="D472">
        <v>7</v>
      </c>
      <c r="E472">
        <v>425</v>
      </c>
      <c r="F472">
        <v>350</v>
      </c>
      <c r="G472">
        <v>3.7</v>
      </c>
      <c r="H472">
        <v>5</v>
      </c>
      <c r="I472">
        <v>-1.3</v>
      </c>
      <c r="J472">
        <v>1</v>
      </c>
      <c r="K472">
        <v>0</v>
      </c>
    </row>
    <row r="473" spans="1:11" x14ac:dyDescent="0.25">
      <c r="A473">
        <v>2006</v>
      </c>
      <c r="B473" t="s">
        <v>24</v>
      </c>
      <c r="C473">
        <v>8</v>
      </c>
      <c r="D473">
        <v>8</v>
      </c>
      <c r="E473">
        <v>355</v>
      </c>
      <c r="F473">
        <v>362</v>
      </c>
      <c r="G473">
        <v>0.1</v>
      </c>
      <c r="H473">
        <v>1.2</v>
      </c>
      <c r="I473">
        <v>-1.1000000000000001</v>
      </c>
      <c r="J473">
        <v>1</v>
      </c>
      <c r="K473">
        <v>0</v>
      </c>
    </row>
    <row r="474" spans="1:11" x14ac:dyDescent="0.25">
      <c r="A474">
        <v>2006</v>
      </c>
      <c r="B474" t="s">
        <v>10</v>
      </c>
      <c r="C474">
        <v>13</v>
      </c>
      <c r="D474">
        <v>3</v>
      </c>
      <c r="E474">
        <v>427</v>
      </c>
      <c r="F474">
        <v>255</v>
      </c>
      <c r="G474">
        <v>7.9</v>
      </c>
      <c r="H474">
        <v>4.9000000000000004</v>
      </c>
      <c r="I474">
        <v>3</v>
      </c>
      <c r="J474">
        <v>1</v>
      </c>
      <c r="K474">
        <v>0</v>
      </c>
    </row>
    <row r="475" spans="1:11" x14ac:dyDescent="0.25">
      <c r="A475">
        <v>2006</v>
      </c>
      <c r="B475" t="s">
        <v>23</v>
      </c>
      <c r="C475">
        <v>10</v>
      </c>
      <c r="D475">
        <v>6</v>
      </c>
      <c r="E475">
        <v>413</v>
      </c>
      <c r="F475">
        <v>322</v>
      </c>
      <c r="G475">
        <v>4</v>
      </c>
      <c r="H475">
        <v>4.9000000000000004</v>
      </c>
      <c r="I475">
        <v>-0.9</v>
      </c>
      <c r="J475">
        <v>1</v>
      </c>
      <c r="K475">
        <v>0</v>
      </c>
    </row>
    <row r="476" spans="1:11" x14ac:dyDescent="0.25">
      <c r="A476">
        <v>2006</v>
      </c>
      <c r="B476" t="s">
        <v>33</v>
      </c>
      <c r="C476">
        <v>9</v>
      </c>
      <c r="D476">
        <v>7</v>
      </c>
      <c r="E476">
        <v>335</v>
      </c>
      <c r="F476">
        <v>341</v>
      </c>
      <c r="G476">
        <v>-3.6</v>
      </c>
      <c r="H476">
        <v>-1.7</v>
      </c>
      <c r="I476">
        <v>-1.9</v>
      </c>
      <c r="J476">
        <v>1</v>
      </c>
      <c r="K476">
        <v>0</v>
      </c>
    </row>
    <row r="477" spans="1:11" x14ac:dyDescent="0.25">
      <c r="A477">
        <v>2007</v>
      </c>
      <c r="B477" t="s">
        <v>22</v>
      </c>
      <c r="C477">
        <v>16</v>
      </c>
      <c r="D477">
        <v>0</v>
      </c>
      <c r="E477">
        <v>589</v>
      </c>
      <c r="F477">
        <v>274</v>
      </c>
      <c r="G477">
        <v>20.100000000000001</v>
      </c>
      <c r="H477">
        <v>15.9</v>
      </c>
      <c r="I477">
        <v>4.2</v>
      </c>
      <c r="J477">
        <v>1</v>
      </c>
      <c r="K477">
        <v>0</v>
      </c>
    </row>
    <row r="478" spans="1:11" x14ac:dyDescent="0.25">
      <c r="A478">
        <v>2007</v>
      </c>
      <c r="B478" t="s">
        <v>29</v>
      </c>
      <c r="C478">
        <v>10</v>
      </c>
      <c r="D478">
        <v>6</v>
      </c>
      <c r="E478">
        <v>393</v>
      </c>
      <c r="F478">
        <v>269</v>
      </c>
      <c r="G478">
        <v>5.2</v>
      </c>
      <c r="H478">
        <v>0.9</v>
      </c>
      <c r="I478">
        <v>4.3</v>
      </c>
      <c r="J478">
        <v>1</v>
      </c>
      <c r="K478">
        <v>0</v>
      </c>
    </row>
    <row r="479" spans="1:11" x14ac:dyDescent="0.25">
      <c r="A479">
        <v>2007</v>
      </c>
      <c r="B479" t="s">
        <v>17</v>
      </c>
      <c r="C479">
        <v>13</v>
      </c>
      <c r="D479">
        <v>3</v>
      </c>
      <c r="E479">
        <v>450</v>
      </c>
      <c r="F479">
        <v>262</v>
      </c>
      <c r="G479">
        <v>12</v>
      </c>
      <c r="H479">
        <v>6.6</v>
      </c>
      <c r="I479">
        <v>5.4</v>
      </c>
      <c r="J479">
        <v>1</v>
      </c>
      <c r="K479">
        <v>0</v>
      </c>
    </row>
    <row r="480" spans="1:11" x14ac:dyDescent="0.25">
      <c r="A480">
        <v>2007</v>
      </c>
      <c r="B480" t="s">
        <v>18</v>
      </c>
      <c r="C480">
        <v>11</v>
      </c>
      <c r="D480">
        <v>5</v>
      </c>
      <c r="E480">
        <v>411</v>
      </c>
      <c r="F480">
        <v>304</v>
      </c>
      <c r="G480">
        <v>6.8</v>
      </c>
      <c r="H480">
        <v>4.8</v>
      </c>
      <c r="I480">
        <v>2</v>
      </c>
      <c r="J480">
        <v>1</v>
      </c>
      <c r="K480">
        <v>0</v>
      </c>
    </row>
    <row r="481" spans="1:11" x14ac:dyDescent="0.25">
      <c r="A481">
        <v>2007</v>
      </c>
      <c r="B481" t="s">
        <v>37</v>
      </c>
      <c r="C481">
        <v>10</v>
      </c>
      <c r="D481">
        <v>6</v>
      </c>
      <c r="E481">
        <v>301</v>
      </c>
      <c r="F481">
        <v>297</v>
      </c>
      <c r="G481">
        <v>0.7</v>
      </c>
      <c r="H481">
        <v>-2.9</v>
      </c>
      <c r="I481">
        <v>3.6</v>
      </c>
      <c r="J481">
        <v>1</v>
      </c>
      <c r="K481">
        <v>0</v>
      </c>
    </row>
    <row r="482" spans="1:11" x14ac:dyDescent="0.25">
      <c r="A482">
        <v>2007</v>
      </c>
      <c r="B482" t="s">
        <v>31</v>
      </c>
      <c r="C482">
        <v>11</v>
      </c>
      <c r="D482">
        <v>5</v>
      </c>
      <c r="E482">
        <v>412</v>
      </c>
      <c r="F482">
        <v>284</v>
      </c>
      <c r="G482">
        <v>8.8000000000000007</v>
      </c>
      <c r="H482">
        <v>4.3</v>
      </c>
      <c r="I482">
        <v>4.5</v>
      </c>
      <c r="J482">
        <v>1</v>
      </c>
      <c r="K482">
        <v>0</v>
      </c>
    </row>
    <row r="483" spans="1:11" x14ac:dyDescent="0.25">
      <c r="A483">
        <v>2007</v>
      </c>
      <c r="B483" t="s">
        <v>13</v>
      </c>
      <c r="C483">
        <v>13</v>
      </c>
      <c r="D483">
        <v>3</v>
      </c>
      <c r="E483">
        <v>455</v>
      </c>
      <c r="F483">
        <v>325</v>
      </c>
      <c r="G483">
        <v>9.5</v>
      </c>
      <c r="H483">
        <v>7.8</v>
      </c>
      <c r="I483">
        <v>1.7</v>
      </c>
      <c r="J483">
        <v>1</v>
      </c>
      <c r="K483">
        <v>0</v>
      </c>
    </row>
    <row r="484" spans="1:11" x14ac:dyDescent="0.25">
      <c r="A484">
        <v>2007</v>
      </c>
      <c r="B484" t="s">
        <v>38</v>
      </c>
      <c r="C484">
        <v>9</v>
      </c>
      <c r="D484">
        <v>7</v>
      </c>
      <c r="E484">
        <v>334</v>
      </c>
      <c r="F484">
        <v>310</v>
      </c>
      <c r="G484">
        <v>4.5</v>
      </c>
      <c r="H484">
        <v>0.2</v>
      </c>
      <c r="I484">
        <v>4.3</v>
      </c>
      <c r="J484">
        <v>1</v>
      </c>
      <c r="K484">
        <v>0</v>
      </c>
    </row>
    <row r="485" spans="1:11" x14ac:dyDescent="0.25">
      <c r="A485">
        <v>2007</v>
      </c>
      <c r="B485" t="s">
        <v>16</v>
      </c>
      <c r="C485">
        <v>13</v>
      </c>
      <c r="D485">
        <v>3</v>
      </c>
      <c r="E485">
        <v>435</v>
      </c>
      <c r="F485">
        <v>291</v>
      </c>
      <c r="G485">
        <v>9</v>
      </c>
      <c r="H485">
        <v>5.7</v>
      </c>
      <c r="I485">
        <v>3.3</v>
      </c>
      <c r="J485">
        <v>1</v>
      </c>
      <c r="K485">
        <v>0</v>
      </c>
    </row>
    <row r="486" spans="1:11" x14ac:dyDescent="0.25">
      <c r="A486">
        <v>2007</v>
      </c>
      <c r="B486" t="s">
        <v>36</v>
      </c>
      <c r="C486">
        <v>9</v>
      </c>
      <c r="D486">
        <v>7</v>
      </c>
      <c r="E486">
        <v>334</v>
      </c>
      <c r="F486">
        <v>270</v>
      </c>
      <c r="G486">
        <v>1.2</v>
      </c>
      <c r="H486">
        <v>-2.2999999999999998</v>
      </c>
      <c r="I486">
        <v>3.6</v>
      </c>
      <c r="J486">
        <v>1</v>
      </c>
      <c r="K486">
        <v>0</v>
      </c>
    </row>
    <row r="487" spans="1:11" x14ac:dyDescent="0.25">
      <c r="A487">
        <v>2007</v>
      </c>
      <c r="B487" t="s">
        <v>33</v>
      </c>
      <c r="C487">
        <v>10</v>
      </c>
      <c r="D487">
        <v>6</v>
      </c>
      <c r="E487">
        <v>393</v>
      </c>
      <c r="F487">
        <v>291</v>
      </c>
      <c r="G487">
        <v>1.8</v>
      </c>
      <c r="H487">
        <v>0.8</v>
      </c>
      <c r="I487">
        <v>0.9</v>
      </c>
      <c r="J487">
        <v>1</v>
      </c>
      <c r="K487">
        <v>0</v>
      </c>
    </row>
    <row r="488" spans="1:11" x14ac:dyDescent="0.25">
      <c r="A488">
        <v>2008</v>
      </c>
      <c r="B488" t="s">
        <v>20</v>
      </c>
      <c r="C488">
        <v>11</v>
      </c>
      <c r="D488">
        <v>5</v>
      </c>
      <c r="E488">
        <v>345</v>
      </c>
      <c r="F488">
        <v>317</v>
      </c>
      <c r="G488">
        <v>-0.5</v>
      </c>
      <c r="H488">
        <v>-2.4</v>
      </c>
      <c r="I488">
        <v>1.8</v>
      </c>
      <c r="J488">
        <v>1</v>
      </c>
      <c r="K488">
        <v>0</v>
      </c>
    </row>
    <row r="489" spans="1:11" x14ac:dyDescent="0.25">
      <c r="A489">
        <v>2008</v>
      </c>
      <c r="B489" t="s">
        <v>7</v>
      </c>
      <c r="C489">
        <v>11</v>
      </c>
      <c r="D489">
        <v>5</v>
      </c>
      <c r="E489">
        <v>385</v>
      </c>
      <c r="F489">
        <v>244</v>
      </c>
      <c r="G489">
        <v>9.8000000000000007</v>
      </c>
      <c r="H489">
        <v>4.2</v>
      </c>
      <c r="I489">
        <v>5.6</v>
      </c>
      <c r="J489">
        <v>1</v>
      </c>
      <c r="K489">
        <v>0</v>
      </c>
    </row>
    <row r="490" spans="1:11" x14ac:dyDescent="0.25">
      <c r="A490">
        <v>2008</v>
      </c>
      <c r="B490" t="s">
        <v>37</v>
      </c>
      <c r="C490">
        <v>13</v>
      </c>
      <c r="D490">
        <v>3</v>
      </c>
      <c r="E490">
        <v>375</v>
      </c>
      <c r="F490">
        <v>234</v>
      </c>
      <c r="G490">
        <v>8.9</v>
      </c>
      <c r="H490">
        <v>1.5</v>
      </c>
      <c r="I490">
        <v>7.5</v>
      </c>
      <c r="J490">
        <v>1</v>
      </c>
      <c r="K490">
        <v>0</v>
      </c>
    </row>
    <row r="491" spans="1:11" x14ac:dyDescent="0.25">
      <c r="A491">
        <v>2008</v>
      </c>
      <c r="B491" t="s">
        <v>17</v>
      </c>
      <c r="C491">
        <v>12</v>
      </c>
      <c r="D491">
        <v>4</v>
      </c>
      <c r="E491">
        <v>377</v>
      </c>
      <c r="F491">
        <v>298</v>
      </c>
      <c r="G491">
        <v>6.5</v>
      </c>
      <c r="H491">
        <v>2.6</v>
      </c>
      <c r="I491">
        <v>3.9</v>
      </c>
      <c r="J491">
        <v>1</v>
      </c>
      <c r="K491">
        <v>0</v>
      </c>
    </row>
    <row r="492" spans="1:11" x14ac:dyDescent="0.25">
      <c r="A492">
        <v>2008</v>
      </c>
      <c r="B492" t="s">
        <v>31</v>
      </c>
      <c r="C492">
        <v>8</v>
      </c>
      <c r="D492">
        <v>8</v>
      </c>
      <c r="E492">
        <v>439</v>
      </c>
      <c r="F492">
        <v>347</v>
      </c>
      <c r="G492">
        <v>5</v>
      </c>
      <c r="H492">
        <v>5</v>
      </c>
      <c r="I492">
        <v>0</v>
      </c>
      <c r="J492">
        <v>1</v>
      </c>
      <c r="K492">
        <v>0</v>
      </c>
    </row>
    <row r="493" spans="1:11" x14ac:dyDescent="0.25">
      <c r="A493">
        <v>2008</v>
      </c>
      <c r="B493" t="s">
        <v>24</v>
      </c>
      <c r="C493">
        <v>12</v>
      </c>
      <c r="D493">
        <v>4</v>
      </c>
      <c r="E493">
        <v>427</v>
      </c>
      <c r="F493">
        <v>294</v>
      </c>
      <c r="G493">
        <v>8.4</v>
      </c>
      <c r="H493">
        <v>5.5</v>
      </c>
      <c r="I493">
        <v>2.8</v>
      </c>
      <c r="J493">
        <v>1</v>
      </c>
      <c r="K493">
        <v>0</v>
      </c>
    </row>
    <row r="494" spans="1:11" x14ac:dyDescent="0.25">
      <c r="A494">
        <v>2008</v>
      </c>
      <c r="B494" t="s">
        <v>28</v>
      </c>
      <c r="C494">
        <v>9</v>
      </c>
      <c r="D494">
        <v>6</v>
      </c>
      <c r="E494">
        <v>416</v>
      </c>
      <c r="F494">
        <v>289</v>
      </c>
      <c r="G494">
        <v>7.8</v>
      </c>
      <c r="H494">
        <v>4.7</v>
      </c>
      <c r="I494">
        <v>3.2</v>
      </c>
      <c r="J494">
        <v>1</v>
      </c>
      <c r="K494">
        <v>0</v>
      </c>
    </row>
    <row r="495" spans="1:11" x14ac:dyDescent="0.25">
      <c r="A495">
        <v>2008</v>
      </c>
      <c r="B495" t="s">
        <v>21</v>
      </c>
      <c r="C495">
        <v>10</v>
      </c>
      <c r="D495">
        <v>6</v>
      </c>
      <c r="E495">
        <v>379</v>
      </c>
      <c r="F495">
        <v>333</v>
      </c>
      <c r="G495">
        <v>4</v>
      </c>
      <c r="H495">
        <v>1.1000000000000001</v>
      </c>
      <c r="I495">
        <v>2.9</v>
      </c>
      <c r="J495">
        <v>1</v>
      </c>
      <c r="K495">
        <v>0</v>
      </c>
    </row>
    <row r="496" spans="1:11" x14ac:dyDescent="0.25">
      <c r="A496">
        <v>2008</v>
      </c>
      <c r="B496" t="s">
        <v>9</v>
      </c>
      <c r="C496">
        <v>12</v>
      </c>
      <c r="D496">
        <v>4</v>
      </c>
      <c r="E496">
        <v>414</v>
      </c>
      <c r="F496">
        <v>329</v>
      </c>
      <c r="G496">
        <v>5.6</v>
      </c>
      <c r="H496">
        <v>2.8</v>
      </c>
      <c r="I496">
        <v>2.9</v>
      </c>
      <c r="J496">
        <v>1</v>
      </c>
      <c r="K496">
        <v>0</v>
      </c>
    </row>
    <row r="497" spans="1:11" x14ac:dyDescent="0.25">
      <c r="A497">
        <v>2008</v>
      </c>
      <c r="B497" t="s">
        <v>6</v>
      </c>
      <c r="C497">
        <v>11</v>
      </c>
      <c r="D497">
        <v>5</v>
      </c>
      <c r="E497">
        <v>391</v>
      </c>
      <c r="F497">
        <v>325</v>
      </c>
      <c r="G497">
        <v>3.8</v>
      </c>
      <c r="H497">
        <v>1.3</v>
      </c>
      <c r="I497">
        <v>2.5</v>
      </c>
      <c r="J497">
        <v>1</v>
      </c>
      <c r="K497">
        <v>0</v>
      </c>
    </row>
    <row r="498" spans="1:11" x14ac:dyDescent="0.25">
      <c r="A498">
        <v>2008</v>
      </c>
      <c r="B498" t="s">
        <v>5</v>
      </c>
      <c r="C498">
        <v>9</v>
      </c>
      <c r="D498">
        <v>7</v>
      </c>
      <c r="E498">
        <v>427</v>
      </c>
      <c r="F498">
        <v>426</v>
      </c>
      <c r="G498">
        <v>-1.9</v>
      </c>
      <c r="H498">
        <v>4.0999999999999996</v>
      </c>
      <c r="I498">
        <v>-6</v>
      </c>
      <c r="J498">
        <v>1</v>
      </c>
      <c r="K498">
        <v>0</v>
      </c>
    </row>
    <row r="499" spans="1:11" x14ac:dyDescent="0.25">
      <c r="A499">
        <v>2009</v>
      </c>
      <c r="B499" t="s">
        <v>22</v>
      </c>
      <c r="C499">
        <v>10</v>
      </c>
      <c r="D499">
        <v>6</v>
      </c>
      <c r="E499">
        <v>427</v>
      </c>
      <c r="F499">
        <v>285</v>
      </c>
      <c r="G499">
        <v>11.2</v>
      </c>
      <c r="H499">
        <v>6.7</v>
      </c>
      <c r="I499">
        <v>4.5</v>
      </c>
      <c r="J499">
        <v>1</v>
      </c>
      <c r="K499">
        <v>0</v>
      </c>
    </row>
    <row r="500" spans="1:11" x14ac:dyDescent="0.25">
      <c r="A500">
        <v>2009</v>
      </c>
      <c r="B500" t="s">
        <v>25</v>
      </c>
      <c r="C500">
        <v>9</v>
      </c>
      <c r="D500">
        <v>7</v>
      </c>
      <c r="E500">
        <v>348</v>
      </c>
      <c r="F500">
        <v>236</v>
      </c>
      <c r="G500">
        <v>8.6</v>
      </c>
      <c r="H500">
        <v>1.1000000000000001</v>
      </c>
      <c r="I500">
        <v>7.5</v>
      </c>
      <c r="J500">
        <v>1</v>
      </c>
      <c r="K500">
        <v>0</v>
      </c>
    </row>
    <row r="501" spans="1:11" x14ac:dyDescent="0.25">
      <c r="A501">
        <v>2009</v>
      </c>
      <c r="B501" t="s">
        <v>11</v>
      </c>
      <c r="C501">
        <v>10</v>
      </c>
      <c r="D501">
        <v>6</v>
      </c>
      <c r="E501">
        <v>305</v>
      </c>
      <c r="F501">
        <v>291</v>
      </c>
      <c r="G501">
        <v>0.7</v>
      </c>
      <c r="H501">
        <v>-2.5</v>
      </c>
      <c r="I501">
        <v>3.2</v>
      </c>
      <c r="J501">
        <v>1</v>
      </c>
      <c r="K501">
        <v>0</v>
      </c>
    </row>
    <row r="502" spans="1:11" x14ac:dyDescent="0.25">
      <c r="A502">
        <v>2009</v>
      </c>
      <c r="B502" t="s">
        <v>7</v>
      </c>
      <c r="C502">
        <v>9</v>
      </c>
      <c r="D502">
        <v>7</v>
      </c>
      <c r="E502">
        <v>391</v>
      </c>
      <c r="F502">
        <v>261</v>
      </c>
      <c r="G502">
        <v>7.5</v>
      </c>
      <c r="H502">
        <v>2.6</v>
      </c>
      <c r="I502">
        <v>4.9000000000000004</v>
      </c>
      <c r="J502">
        <v>1</v>
      </c>
      <c r="K502">
        <v>0</v>
      </c>
    </row>
    <row r="503" spans="1:11" x14ac:dyDescent="0.25">
      <c r="A503">
        <v>2009</v>
      </c>
      <c r="B503" t="s">
        <v>17</v>
      </c>
      <c r="C503">
        <v>14</v>
      </c>
      <c r="D503">
        <v>2</v>
      </c>
      <c r="E503">
        <v>416</v>
      </c>
      <c r="F503">
        <v>307</v>
      </c>
      <c r="G503">
        <v>5.9</v>
      </c>
      <c r="H503">
        <v>4.4000000000000004</v>
      </c>
      <c r="I503">
        <v>1.5</v>
      </c>
      <c r="J503">
        <v>1</v>
      </c>
      <c r="K503">
        <v>0</v>
      </c>
    </row>
    <row r="504" spans="1:11" x14ac:dyDescent="0.25">
      <c r="A504">
        <v>2009</v>
      </c>
      <c r="B504" t="s">
        <v>31</v>
      </c>
      <c r="C504">
        <v>13</v>
      </c>
      <c r="D504">
        <v>3</v>
      </c>
      <c r="E504">
        <v>454</v>
      </c>
      <c r="F504">
        <v>320</v>
      </c>
      <c r="G504">
        <v>6.6</v>
      </c>
      <c r="H504">
        <v>6.4</v>
      </c>
      <c r="I504">
        <v>0.2</v>
      </c>
      <c r="J504">
        <v>1</v>
      </c>
      <c r="K504">
        <v>0</v>
      </c>
    </row>
    <row r="505" spans="1:11" x14ac:dyDescent="0.25">
      <c r="A505">
        <v>2009</v>
      </c>
      <c r="B505" t="s">
        <v>13</v>
      </c>
      <c r="C505">
        <v>11</v>
      </c>
      <c r="D505">
        <v>5</v>
      </c>
      <c r="E505">
        <v>361</v>
      </c>
      <c r="F505">
        <v>250</v>
      </c>
      <c r="G505">
        <v>7.1</v>
      </c>
      <c r="H505">
        <v>0.4</v>
      </c>
      <c r="I505">
        <v>6.7</v>
      </c>
      <c r="J505">
        <v>1</v>
      </c>
      <c r="K505">
        <v>0</v>
      </c>
    </row>
    <row r="506" spans="1:11" x14ac:dyDescent="0.25">
      <c r="A506">
        <v>2009</v>
      </c>
      <c r="B506" t="s">
        <v>28</v>
      </c>
      <c r="C506">
        <v>11</v>
      </c>
      <c r="D506">
        <v>5</v>
      </c>
      <c r="E506">
        <v>429</v>
      </c>
      <c r="F506">
        <v>337</v>
      </c>
      <c r="G506">
        <v>6</v>
      </c>
      <c r="H506">
        <v>5.8</v>
      </c>
      <c r="I506">
        <v>0.2</v>
      </c>
      <c r="J506">
        <v>1</v>
      </c>
      <c r="K506">
        <v>0</v>
      </c>
    </row>
    <row r="507" spans="1:11" x14ac:dyDescent="0.25">
      <c r="A507">
        <v>2009</v>
      </c>
      <c r="B507" t="s">
        <v>21</v>
      </c>
      <c r="C507">
        <v>12</v>
      </c>
      <c r="D507">
        <v>4</v>
      </c>
      <c r="E507">
        <v>470</v>
      </c>
      <c r="F507">
        <v>312</v>
      </c>
      <c r="G507">
        <v>7.2</v>
      </c>
      <c r="H507">
        <v>6.6</v>
      </c>
      <c r="I507">
        <v>0.6</v>
      </c>
      <c r="J507">
        <v>1</v>
      </c>
      <c r="K507">
        <v>0</v>
      </c>
    </row>
    <row r="508" spans="1:11" x14ac:dyDescent="0.25">
      <c r="A508">
        <v>2009</v>
      </c>
      <c r="B508" t="s">
        <v>16</v>
      </c>
      <c r="C508">
        <v>11</v>
      </c>
      <c r="D508">
        <v>5</v>
      </c>
      <c r="E508">
        <v>461</v>
      </c>
      <c r="F508">
        <v>297</v>
      </c>
      <c r="G508">
        <v>7.4</v>
      </c>
      <c r="H508">
        <v>6.3</v>
      </c>
      <c r="I508">
        <v>1.1000000000000001</v>
      </c>
      <c r="J508">
        <v>1</v>
      </c>
      <c r="K508">
        <v>0</v>
      </c>
    </row>
    <row r="509" spans="1:11" x14ac:dyDescent="0.25">
      <c r="A509">
        <v>2009</v>
      </c>
      <c r="B509" t="s">
        <v>5</v>
      </c>
      <c r="C509">
        <v>10</v>
      </c>
      <c r="D509">
        <v>6</v>
      </c>
      <c r="E509">
        <v>375</v>
      </c>
      <c r="F509">
        <v>325</v>
      </c>
      <c r="G509">
        <v>-0.3</v>
      </c>
      <c r="H509">
        <v>0.1</v>
      </c>
      <c r="I509">
        <v>-0.4</v>
      </c>
      <c r="J509">
        <v>1</v>
      </c>
      <c r="K509">
        <v>0</v>
      </c>
    </row>
    <row r="510" spans="1:11" x14ac:dyDescent="0.25">
      <c r="A510">
        <v>2010</v>
      </c>
      <c r="B510" t="s">
        <v>22</v>
      </c>
      <c r="C510">
        <v>14</v>
      </c>
      <c r="D510">
        <v>2</v>
      </c>
      <c r="E510">
        <v>518</v>
      </c>
      <c r="F510">
        <v>313</v>
      </c>
      <c r="G510">
        <v>15.4</v>
      </c>
      <c r="H510">
        <v>12.6</v>
      </c>
      <c r="I510">
        <v>2.8</v>
      </c>
      <c r="J510">
        <v>1</v>
      </c>
      <c r="K510">
        <v>0</v>
      </c>
    </row>
    <row r="511" spans="1:11" x14ac:dyDescent="0.25">
      <c r="A511">
        <v>2010</v>
      </c>
      <c r="B511" t="s">
        <v>25</v>
      </c>
      <c r="C511">
        <v>11</v>
      </c>
      <c r="D511">
        <v>5</v>
      </c>
      <c r="E511">
        <v>367</v>
      </c>
      <c r="F511">
        <v>304</v>
      </c>
      <c r="G511">
        <v>6.5</v>
      </c>
      <c r="H511">
        <v>2.2000000000000002</v>
      </c>
      <c r="I511">
        <v>4.2</v>
      </c>
      <c r="J511">
        <v>1</v>
      </c>
      <c r="K511">
        <v>0</v>
      </c>
    </row>
    <row r="512" spans="1:11" x14ac:dyDescent="0.25">
      <c r="A512">
        <v>2010</v>
      </c>
      <c r="B512" t="s">
        <v>29</v>
      </c>
      <c r="C512">
        <v>12</v>
      </c>
      <c r="D512">
        <v>4</v>
      </c>
      <c r="E512">
        <v>375</v>
      </c>
      <c r="F512">
        <v>232</v>
      </c>
      <c r="G512">
        <v>10.199999999999999</v>
      </c>
      <c r="H512">
        <v>2.5</v>
      </c>
      <c r="I512">
        <v>7.7</v>
      </c>
      <c r="J512">
        <v>1</v>
      </c>
      <c r="K512">
        <v>0</v>
      </c>
    </row>
    <row r="513" spans="1:11" x14ac:dyDescent="0.25">
      <c r="A513">
        <v>2010</v>
      </c>
      <c r="B513" t="s">
        <v>7</v>
      </c>
      <c r="C513">
        <v>12</v>
      </c>
      <c r="D513">
        <v>4</v>
      </c>
      <c r="E513">
        <v>357</v>
      </c>
      <c r="F513">
        <v>270</v>
      </c>
      <c r="G513">
        <v>6.4</v>
      </c>
      <c r="H513">
        <v>0.9</v>
      </c>
      <c r="I513">
        <v>5.5</v>
      </c>
      <c r="J513">
        <v>1</v>
      </c>
      <c r="K513">
        <v>0</v>
      </c>
    </row>
    <row r="514" spans="1:11" x14ac:dyDescent="0.25">
      <c r="A514">
        <v>2010</v>
      </c>
      <c r="B514" t="s">
        <v>17</v>
      </c>
      <c r="C514">
        <v>10</v>
      </c>
      <c r="D514">
        <v>6</v>
      </c>
      <c r="E514">
        <v>435</v>
      </c>
      <c r="F514">
        <v>388</v>
      </c>
      <c r="G514">
        <v>2.9</v>
      </c>
      <c r="H514">
        <v>3.7</v>
      </c>
      <c r="I514">
        <v>-0.9</v>
      </c>
      <c r="J514">
        <v>1</v>
      </c>
      <c r="K514">
        <v>0</v>
      </c>
    </row>
    <row r="515" spans="1:11" x14ac:dyDescent="0.25">
      <c r="A515">
        <v>2010</v>
      </c>
      <c r="B515" t="s">
        <v>19</v>
      </c>
      <c r="C515">
        <v>10</v>
      </c>
      <c r="D515">
        <v>6</v>
      </c>
      <c r="E515">
        <v>366</v>
      </c>
      <c r="F515">
        <v>326</v>
      </c>
      <c r="G515">
        <v>-0.7</v>
      </c>
      <c r="H515">
        <v>-1.5</v>
      </c>
      <c r="I515">
        <v>0.8</v>
      </c>
      <c r="J515">
        <v>1</v>
      </c>
      <c r="K515">
        <v>0</v>
      </c>
    </row>
    <row r="516" spans="1:11" x14ac:dyDescent="0.25">
      <c r="A516">
        <v>2010</v>
      </c>
      <c r="B516" t="s">
        <v>28</v>
      </c>
      <c r="C516">
        <v>10</v>
      </c>
      <c r="D516">
        <v>6</v>
      </c>
      <c r="E516">
        <v>439</v>
      </c>
      <c r="F516">
        <v>377</v>
      </c>
      <c r="G516">
        <v>4.2</v>
      </c>
      <c r="H516">
        <v>5.4</v>
      </c>
      <c r="I516">
        <v>-1.2</v>
      </c>
      <c r="J516">
        <v>1</v>
      </c>
      <c r="K516">
        <v>0</v>
      </c>
    </row>
    <row r="517" spans="1:11" x14ac:dyDescent="0.25">
      <c r="A517">
        <v>2010</v>
      </c>
      <c r="B517" t="s">
        <v>10</v>
      </c>
      <c r="C517">
        <v>11</v>
      </c>
      <c r="D517">
        <v>5</v>
      </c>
      <c r="E517">
        <v>334</v>
      </c>
      <c r="F517">
        <v>286</v>
      </c>
      <c r="G517">
        <v>4.0999999999999996</v>
      </c>
      <c r="H517">
        <v>-0.6</v>
      </c>
      <c r="I517">
        <v>4.7</v>
      </c>
      <c r="J517">
        <v>1</v>
      </c>
      <c r="K517">
        <v>0</v>
      </c>
    </row>
    <row r="518" spans="1:11" x14ac:dyDescent="0.25">
      <c r="A518">
        <v>2010</v>
      </c>
      <c r="B518" t="s">
        <v>6</v>
      </c>
      <c r="C518">
        <v>13</v>
      </c>
      <c r="D518">
        <v>3</v>
      </c>
      <c r="E518">
        <v>414</v>
      </c>
      <c r="F518">
        <v>288</v>
      </c>
      <c r="G518">
        <v>6.1</v>
      </c>
      <c r="H518">
        <v>3.8</v>
      </c>
      <c r="I518">
        <v>2.2000000000000002</v>
      </c>
      <c r="J518">
        <v>1</v>
      </c>
      <c r="K518">
        <v>0</v>
      </c>
    </row>
    <row r="519" spans="1:11" x14ac:dyDescent="0.25">
      <c r="A519">
        <v>2010</v>
      </c>
      <c r="B519" t="s">
        <v>23</v>
      </c>
      <c r="C519">
        <v>11</v>
      </c>
      <c r="D519">
        <v>5</v>
      </c>
      <c r="E519">
        <v>384</v>
      </c>
      <c r="F519">
        <v>307</v>
      </c>
      <c r="G519">
        <v>2.2999999999999998</v>
      </c>
      <c r="H519">
        <v>1.5</v>
      </c>
      <c r="I519">
        <v>0.8</v>
      </c>
      <c r="J519">
        <v>1</v>
      </c>
      <c r="K519">
        <v>0</v>
      </c>
    </row>
    <row r="520" spans="1:11" x14ac:dyDescent="0.25">
      <c r="A520">
        <v>2010</v>
      </c>
      <c r="B520" t="s">
        <v>33</v>
      </c>
      <c r="C520">
        <v>7</v>
      </c>
      <c r="D520">
        <v>9</v>
      </c>
      <c r="E520">
        <v>310</v>
      </c>
      <c r="F520">
        <v>407</v>
      </c>
      <c r="G520">
        <v>-9.4</v>
      </c>
      <c r="H520">
        <v>-3.9</v>
      </c>
      <c r="I520">
        <v>-5.5</v>
      </c>
      <c r="J520">
        <v>1</v>
      </c>
      <c r="K520">
        <v>0</v>
      </c>
    </row>
    <row r="521" spans="1:11" x14ac:dyDescent="0.25">
      <c r="A521">
        <v>2011</v>
      </c>
      <c r="B521" t="s">
        <v>22</v>
      </c>
      <c r="C521">
        <v>13</v>
      </c>
      <c r="D521">
        <v>3</v>
      </c>
      <c r="E521">
        <v>513</v>
      </c>
      <c r="F521">
        <v>342</v>
      </c>
      <c r="G521">
        <v>9.3000000000000007</v>
      </c>
      <c r="H521">
        <v>9.4</v>
      </c>
      <c r="I521">
        <v>-0.1</v>
      </c>
      <c r="J521">
        <v>1</v>
      </c>
      <c r="K521">
        <v>0</v>
      </c>
    </row>
    <row r="522" spans="1:11" x14ac:dyDescent="0.25">
      <c r="A522">
        <v>2011</v>
      </c>
      <c r="B522" t="s">
        <v>7</v>
      </c>
      <c r="C522">
        <v>12</v>
      </c>
      <c r="D522">
        <v>4</v>
      </c>
      <c r="E522">
        <v>378</v>
      </c>
      <c r="F522">
        <v>266</v>
      </c>
      <c r="G522">
        <v>6.1</v>
      </c>
      <c r="H522">
        <v>2.6</v>
      </c>
      <c r="I522">
        <v>3.5</v>
      </c>
      <c r="J522">
        <v>1</v>
      </c>
      <c r="K522">
        <v>0</v>
      </c>
    </row>
    <row r="523" spans="1:11" x14ac:dyDescent="0.25">
      <c r="A523">
        <v>2011</v>
      </c>
      <c r="B523" t="s">
        <v>29</v>
      </c>
      <c r="C523">
        <v>12</v>
      </c>
      <c r="D523">
        <v>4</v>
      </c>
      <c r="E523">
        <v>325</v>
      </c>
      <c r="F523">
        <v>227</v>
      </c>
      <c r="G523">
        <v>5.3</v>
      </c>
      <c r="H523">
        <v>-0.8</v>
      </c>
      <c r="I523">
        <v>6</v>
      </c>
      <c r="J523">
        <v>1</v>
      </c>
      <c r="K523">
        <v>0</v>
      </c>
    </row>
    <row r="524" spans="1:11" x14ac:dyDescent="0.25">
      <c r="A524">
        <v>2011</v>
      </c>
      <c r="B524" t="s">
        <v>11</v>
      </c>
      <c r="C524">
        <v>9</v>
      </c>
      <c r="D524">
        <v>7</v>
      </c>
      <c r="E524">
        <v>344</v>
      </c>
      <c r="F524">
        <v>323</v>
      </c>
      <c r="G524">
        <v>0.5</v>
      </c>
      <c r="H524">
        <v>0.7</v>
      </c>
      <c r="I524">
        <v>-0.2</v>
      </c>
      <c r="J524">
        <v>1</v>
      </c>
      <c r="K524">
        <v>0</v>
      </c>
    </row>
    <row r="525" spans="1:11" x14ac:dyDescent="0.25">
      <c r="A525">
        <v>2011</v>
      </c>
      <c r="B525" t="s">
        <v>39</v>
      </c>
      <c r="C525">
        <v>10</v>
      </c>
      <c r="D525">
        <v>6</v>
      </c>
      <c r="E525">
        <v>381</v>
      </c>
      <c r="F525">
        <v>278</v>
      </c>
      <c r="G525">
        <v>4.5</v>
      </c>
      <c r="H525">
        <v>1.4</v>
      </c>
      <c r="I525">
        <v>3.2</v>
      </c>
      <c r="J525">
        <v>1</v>
      </c>
      <c r="K525">
        <v>0</v>
      </c>
    </row>
    <row r="526" spans="1:11" x14ac:dyDescent="0.25">
      <c r="A526">
        <v>2011</v>
      </c>
      <c r="B526" t="s">
        <v>14</v>
      </c>
      <c r="C526">
        <v>8</v>
      </c>
      <c r="D526">
        <v>8</v>
      </c>
      <c r="E526">
        <v>309</v>
      </c>
      <c r="F526">
        <v>390</v>
      </c>
      <c r="G526">
        <v>-5.3</v>
      </c>
      <c r="H526">
        <v>-3.6</v>
      </c>
      <c r="I526">
        <v>-1.7</v>
      </c>
      <c r="J526">
        <v>1</v>
      </c>
      <c r="K526">
        <v>0</v>
      </c>
    </row>
    <row r="527" spans="1:11" x14ac:dyDescent="0.25">
      <c r="A527">
        <v>2011</v>
      </c>
      <c r="B527" t="s">
        <v>16</v>
      </c>
      <c r="C527">
        <v>15</v>
      </c>
      <c r="D527">
        <v>1</v>
      </c>
      <c r="E527">
        <v>560</v>
      </c>
      <c r="F527">
        <v>359</v>
      </c>
      <c r="G527">
        <v>11.4</v>
      </c>
      <c r="H527">
        <v>11.5</v>
      </c>
      <c r="I527">
        <v>-0.1</v>
      </c>
      <c r="J527">
        <v>1</v>
      </c>
      <c r="K527">
        <v>0</v>
      </c>
    </row>
    <row r="528" spans="1:11" x14ac:dyDescent="0.25">
      <c r="A528">
        <v>2011</v>
      </c>
      <c r="B528" t="s">
        <v>15</v>
      </c>
      <c r="C528">
        <v>10</v>
      </c>
      <c r="D528">
        <v>6</v>
      </c>
      <c r="E528">
        <v>474</v>
      </c>
      <c r="F528">
        <v>387</v>
      </c>
      <c r="G528">
        <v>6.1</v>
      </c>
      <c r="H528">
        <v>6.9</v>
      </c>
      <c r="I528">
        <v>-0.8</v>
      </c>
      <c r="J528">
        <v>1</v>
      </c>
      <c r="K528">
        <v>0</v>
      </c>
    </row>
    <row r="529" spans="1:11" x14ac:dyDescent="0.25">
      <c r="A529">
        <v>2011</v>
      </c>
      <c r="B529" t="s">
        <v>23</v>
      </c>
      <c r="C529">
        <v>13</v>
      </c>
      <c r="D529">
        <v>3</v>
      </c>
      <c r="E529">
        <v>547</v>
      </c>
      <c r="F529">
        <v>339</v>
      </c>
      <c r="G529">
        <v>11.4</v>
      </c>
      <c r="H529">
        <v>10.6</v>
      </c>
      <c r="I529">
        <v>0.8</v>
      </c>
      <c r="J529">
        <v>1</v>
      </c>
      <c r="K529">
        <v>0</v>
      </c>
    </row>
    <row r="530" spans="1:11" x14ac:dyDescent="0.25">
      <c r="A530">
        <v>2011</v>
      </c>
      <c r="B530" t="s">
        <v>6</v>
      </c>
      <c r="C530">
        <v>10</v>
      </c>
      <c r="D530">
        <v>6</v>
      </c>
      <c r="E530">
        <v>402</v>
      </c>
      <c r="F530">
        <v>350</v>
      </c>
      <c r="G530">
        <v>3.5</v>
      </c>
      <c r="H530">
        <v>1.8</v>
      </c>
      <c r="I530">
        <v>1.7</v>
      </c>
      <c r="J530">
        <v>1</v>
      </c>
      <c r="K530">
        <v>0</v>
      </c>
    </row>
    <row r="531" spans="1:11" x14ac:dyDescent="0.25">
      <c r="A531">
        <v>2011</v>
      </c>
      <c r="B531" t="s">
        <v>32</v>
      </c>
      <c r="C531">
        <v>13</v>
      </c>
      <c r="D531">
        <v>3</v>
      </c>
      <c r="E531">
        <v>380</v>
      </c>
      <c r="F531">
        <v>229</v>
      </c>
      <c r="G531">
        <v>8.3000000000000007</v>
      </c>
      <c r="H531">
        <v>1.7</v>
      </c>
      <c r="I531">
        <v>6.6</v>
      </c>
      <c r="J531">
        <v>1</v>
      </c>
      <c r="K531">
        <v>0</v>
      </c>
    </row>
    <row r="532" spans="1:11" x14ac:dyDescent="0.25">
      <c r="A532">
        <v>2012</v>
      </c>
      <c r="B532" t="s">
        <v>22</v>
      </c>
      <c r="C532">
        <v>12</v>
      </c>
      <c r="D532">
        <v>4</v>
      </c>
      <c r="E532">
        <v>557</v>
      </c>
      <c r="F532">
        <v>331</v>
      </c>
      <c r="G532">
        <v>12.8</v>
      </c>
      <c r="H532">
        <v>12.2</v>
      </c>
      <c r="I532">
        <v>0.5</v>
      </c>
      <c r="J532">
        <v>1</v>
      </c>
      <c r="K532">
        <v>0</v>
      </c>
    </row>
    <row r="533" spans="1:11" x14ac:dyDescent="0.25">
      <c r="A533">
        <v>2012</v>
      </c>
      <c r="B533" t="s">
        <v>11</v>
      </c>
      <c r="C533">
        <v>10</v>
      </c>
      <c r="D533">
        <v>6</v>
      </c>
      <c r="E533">
        <v>391</v>
      </c>
      <c r="F533">
        <v>320</v>
      </c>
      <c r="G533">
        <v>2.1</v>
      </c>
      <c r="H533">
        <v>1.2</v>
      </c>
      <c r="I533">
        <v>0.9</v>
      </c>
      <c r="J533">
        <v>1</v>
      </c>
      <c r="K533">
        <v>0</v>
      </c>
    </row>
    <row r="534" spans="1:11" x14ac:dyDescent="0.25">
      <c r="A534">
        <v>2012</v>
      </c>
      <c r="B534" t="s">
        <v>39</v>
      </c>
      <c r="C534">
        <v>12</v>
      </c>
      <c r="D534">
        <v>4</v>
      </c>
      <c r="E534">
        <v>416</v>
      </c>
      <c r="F534">
        <v>331</v>
      </c>
      <c r="G534">
        <v>3.5</v>
      </c>
      <c r="H534">
        <v>1.8</v>
      </c>
      <c r="I534">
        <v>1.7</v>
      </c>
      <c r="J534">
        <v>1</v>
      </c>
      <c r="K534">
        <v>0</v>
      </c>
    </row>
    <row r="535" spans="1:11" x14ac:dyDescent="0.25">
      <c r="A535">
        <v>2012</v>
      </c>
      <c r="B535" t="s">
        <v>17</v>
      </c>
      <c r="C535">
        <v>11</v>
      </c>
      <c r="D535">
        <v>5</v>
      </c>
      <c r="E535">
        <v>357</v>
      </c>
      <c r="F535">
        <v>387</v>
      </c>
      <c r="G535">
        <v>-4.7</v>
      </c>
      <c r="H535">
        <v>-1.9</v>
      </c>
      <c r="I535">
        <v>-2.8</v>
      </c>
      <c r="J535">
        <v>1</v>
      </c>
      <c r="K535">
        <v>0</v>
      </c>
    </row>
    <row r="536" spans="1:11" x14ac:dyDescent="0.25">
      <c r="A536">
        <v>2012</v>
      </c>
      <c r="B536" t="s">
        <v>14</v>
      </c>
      <c r="C536">
        <v>13</v>
      </c>
      <c r="D536">
        <v>3</v>
      </c>
      <c r="E536">
        <v>481</v>
      </c>
      <c r="F536">
        <v>289</v>
      </c>
      <c r="G536">
        <v>10.1</v>
      </c>
      <c r="H536">
        <v>6.3</v>
      </c>
      <c r="I536">
        <v>3.8</v>
      </c>
      <c r="J536">
        <v>1</v>
      </c>
      <c r="K536">
        <v>0</v>
      </c>
    </row>
    <row r="537" spans="1:11" x14ac:dyDescent="0.25">
      <c r="A537">
        <v>2012</v>
      </c>
      <c r="B537" t="s">
        <v>38</v>
      </c>
      <c r="C537">
        <v>10</v>
      </c>
      <c r="D537">
        <v>6</v>
      </c>
      <c r="E537">
        <v>436</v>
      </c>
      <c r="F537">
        <v>388</v>
      </c>
      <c r="G537">
        <v>3.4</v>
      </c>
      <c r="H537">
        <v>4.5999999999999996</v>
      </c>
      <c r="I537">
        <v>-1.2</v>
      </c>
      <c r="J537">
        <v>1</v>
      </c>
      <c r="K537">
        <v>0</v>
      </c>
    </row>
    <row r="538" spans="1:11" x14ac:dyDescent="0.25">
      <c r="A538">
        <v>2012</v>
      </c>
      <c r="B538" t="s">
        <v>16</v>
      </c>
      <c r="C538">
        <v>11</v>
      </c>
      <c r="D538">
        <v>5</v>
      </c>
      <c r="E538">
        <v>433</v>
      </c>
      <c r="F538">
        <v>336</v>
      </c>
      <c r="G538">
        <v>7.3</v>
      </c>
      <c r="H538">
        <v>4.9000000000000004</v>
      </c>
      <c r="I538">
        <v>2.4</v>
      </c>
      <c r="J538">
        <v>1</v>
      </c>
      <c r="K538">
        <v>0</v>
      </c>
    </row>
    <row r="539" spans="1:11" x14ac:dyDescent="0.25">
      <c r="A539">
        <v>2012</v>
      </c>
      <c r="B539" t="s">
        <v>21</v>
      </c>
      <c r="C539">
        <v>10</v>
      </c>
      <c r="D539">
        <v>6</v>
      </c>
      <c r="E539">
        <v>379</v>
      </c>
      <c r="F539">
        <v>348</v>
      </c>
      <c r="G539">
        <v>3.4</v>
      </c>
      <c r="H539">
        <v>1.6</v>
      </c>
      <c r="I539">
        <v>1.8</v>
      </c>
      <c r="J539">
        <v>1</v>
      </c>
      <c r="K539">
        <v>0</v>
      </c>
    </row>
    <row r="540" spans="1:11" x14ac:dyDescent="0.25">
      <c r="A540">
        <v>2012</v>
      </c>
      <c r="B540" t="s">
        <v>6</v>
      </c>
      <c r="C540">
        <v>13</v>
      </c>
      <c r="D540">
        <v>3</v>
      </c>
      <c r="E540">
        <v>419</v>
      </c>
      <c r="F540">
        <v>299</v>
      </c>
      <c r="G540">
        <v>6.4</v>
      </c>
      <c r="H540">
        <v>2</v>
      </c>
      <c r="I540">
        <v>4.5</v>
      </c>
      <c r="J540">
        <v>1</v>
      </c>
      <c r="K540">
        <v>0</v>
      </c>
    </row>
    <row r="541" spans="1:11" x14ac:dyDescent="0.25">
      <c r="A541">
        <v>2012</v>
      </c>
      <c r="B541" t="s">
        <v>32</v>
      </c>
      <c r="C541">
        <v>11</v>
      </c>
      <c r="D541">
        <v>4</v>
      </c>
      <c r="E541">
        <v>397</v>
      </c>
      <c r="F541">
        <v>273</v>
      </c>
      <c r="G541">
        <v>10.199999999999999</v>
      </c>
      <c r="H541">
        <v>3.5</v>
      </c>
      <c r="I541">
        <v>6.7</v>
      </c>
      <c r="J541">
        <v>1</v>
      </c>
      <c r="K541">
        <v>0</v>
      </c>
    </row>
    <row r="542" spans="1:11" x14ac:dyDescent="0.25">
      <c r="A542">
        <v>2012</v>
      </c>
      <c r="B542" t="s">
        <v>33</v>
      </c>
      <c r="C542">
        <v>11</v>
      </c>
      <c r="D542">
        <v>5</v>
      </c>
      <c r="E542">
        <v>412</v>
      </c>
      <c r="F542">
        <v>245</v>
      </c>
      <c r="G542">
        <v>12.2</v>
      </c>
      <c r="H542">
        <v>4.5</v>
      </c>
      <c r="I542">
        <v>7.7</v>
      </c>
      <c r="J542">
        <v>1</v>
      </c>
      <c r="K542">
        <v>0</v>
      </c>
    </row>
    <row r="543" spans="1:11" x14ac:dyDescent="0.25">
      <c r="A543">
        <v>2013</v>
      </c>
      <c r="B543" t="s">
        <v>22</v>
      </c>
      <c r="C543">
        <v>12</v>
      </c>
      <c r="D543">
        <v>4</v>
      </c>
      <c r="E543">
        <v>444</v>
      </c>
      <c r="F543">
        <v>338</v>
      </c>
      <c r="G543">
        <v>5.9</v>
      </c>
      <c r="H543">
        <v>4.5</v>
      </c>
      <c r="I543">
        <v>1.4</v>
      </c>
      <c r="J543">
        <v>1</v>
      </c>
      <c r="K543">
        <v>0</v>
      </c>
    </row>
    <row r="544" spans="1:11" x14ac:dyDescent="0.25">
      <c r="A544">
        <v>2013</v>
      </c>
      <c r="B544" t="s">
        <v>11</v>
      </c>
      <c r="C544">
        <v>11</v>
      </c>
      <c r="D544">
        <v>5</v>
      </c>
      <c r="E544">
        <v>430</v>
      </c>
      <c r="F544">
        <v>305</v>
      </c>
      <c r="G544">
        <v>5.4</v>
      </c>
      <c r="H544">
        <v>2.2999999999999998</v>
      </c>
      <c r="I544">
        <v>3</v>
      </c>
      <c r="J544">
        <v>1</v>
      </c>
      <c r="K544">
        <v>0</v>
      </c>
    </row>
    <row r="545" spans="1:11" x14ac:dyDescent="0.25">
      <c r="A545">
        <v>2013</v>
      </c>
      <c r="B545" t="s">
        <v>17</v>
      </c>
      <c r="C545">
        <v>11</v>
      </c>
      <c r="D545">
        <v>5</v>
      </c>
      <c r="E545">
        <v>391</v>
      </c>
      <c r="F545">
        <v>336</v>
      </c>
      <c r="G545">
        <v>4</v>
      </c>
      <c r="H545">
        <v>1.7</v>
      </c>
      <c r="I545">
        <v>2.2999999999999998</v>
      </c>
      <c r="J545">
        <v>1</v>
      </c>
      <c r="K545">
        <v>0</v>
      </c>
    </row>
    <row r="546" spans="1:11" x14ac:dyDescent="0.25">
      <c r="A546">
        <v>2013</v>
      </c>
      <c r="B546" t="s">
        <v>14</v>
      </c>
      <c r="C546">
        <v>13</v>
      </c>
      <c r="D546">
        <v>3</v>
      </c>
      <c r="E546">
        <v>606</v>
      </c>
      <c r="F546">
        <v>399</v>
      </c>
      <c r="G546">
        <v>11.4</v>
      </c>
      <c r="H546">
        <v>14.1</v>
      </c>
      <c r="I546">
        <v>-2.7</v>
      </c>
      <c r="J546">
        <v>1</v>
      </c>
      <c r="K546">
        <v>0</v>
      </c>
    </row>
    <row r="547" spans="1:11" x14ac:dyDescent="0.25">
      <c r="A547">
        <v>2013</v>
      </c>
      <c r="B547" t="s">
        <v>19</v>
      </c>
      <c r="C547">
        <v>11</v>
      </c>
      <c r="D547">
        <v>5</v>
      </c>
      <c r="E547">
        <v>430</v>
      </c>
      <c r="F547">
        <v>305</v>
      </c>
      <c r="G547">
        <v>6.1</v>
      </c>
      <c r="H547">
        <v>1.7</v>
      </c>
      <c r="I547">
        <v>4.3</v>
      </c>
      <c r="J547">
        <v>1</v>
      </c>
      <c r="K547">
        <v>0</v>
      </c>
    </row>
    <row r="548" spans="1:11" x14ac:dyDescent="0.25">
      <c r="A548">
        <v>2013</v>
      </c>
      <c r="B548" t="s">
        <v>31</v>
      </c>
      <c r="C548">
        <v>9</v>
      </c>
      <c r="D548">
        <v>7</v>
      </c>
      <c r="E548">
        <v>396</v>
      </c>
      <c r="F548">
        <v>348</v>
      </c>
      <c r="G548">
        <v>2.7</v>
      </c>
      <c r="H548">
        <v>0.5</v>
      </c>
      <c r="I548">
        <v>2.1</v>
      </c>
      <c r="J548">
        <v>1</v>
      </c>
      <c r="K548">
        <v>0</v>
      </c>
    </row>
    <row r="549" spans="1:11" x14ac:dyDescent="0.25">
      <c r="A549">
        <v>2013</v>
      </c>
      <c r="B549" t="s">
        <v>28</v>
      </c>
      <c r="C549">
        <v>10</v>
      </c>
      <c r="D549">
        <v>6</v>
      </c>
      <c r="E549">
        <v>442</v>
      </c>
      <c r="F549">
        <v>382</v>
      </c>
      <c r="G549">
        <v>1.9</v>
      </c>
      <c r="H549">
        <v>2.2999999999999998</v>
      </c>
      <c r="I549">
        <v>-0.5</v>
      </c>
      <c r="J549">
        <v>1</v>
      </c>
      <c r="K549">
        <v>0</v>
      </c>
    </row>
    <row r="550" spans="1:11" x14ac:dyDescent="0.25">
      <c r="A550">
        <v>2013</v>
      </c>
      <c r="B550" t="s">
        <v>16</v>
      </c>
      <c r="C550">
        <v>8</v>
      </c>
      <c r="D550">
        <v>7</v>
      </c>
      <c r="E550">
        <v>417</v>
      </c>
      <c r="F550">
        <v>428</v>
      </c>
      <c r="G550">
        <v>-3.1</v>
      </c>
      <c r="H550">
        <v>0.5</v>
      </c>
      <c r="I550">
        <v>-3.6</v>
      </c>
      <c r="J550">
        <v>1</v>
      </c>
      <c r="K550">
        <v>0</v>
      </c>
    </row>
    <row r="551" spans="1:11" x14ac:dyDescent="0.25">
      <c r="A551">
        <v>2013</v>
      </c>
      <c r="B551" t="s">
        <v>9</v>
      </c>
      <c r="C551">
        <v>12</v>
      </c>
      <c r="D551">
        <v>4</v>
      </c>
      <c r="E551">
        <v>366</v>
      </c>
      <c r="F551">
        <v>241</v>
      </c>
      <c r="G551">
        <v>9.1999999999999993</v>
      </c>
      <c r="H551">
        <v>0.6</v>
      </c>
      <c r="I551">
        <v>8.6</v>
      </c>
      <c r="J551">
        <v>1</v>
      </c>
      <c r="K551">
        <v>0</v>
      </c>
    </row>
    <row r="552" spans="1:11" x14ac:dyDescent="0.25">
      <c r="A552">
        <v>2013</v>
      </c>
      <c r="B552" t="s">
        <v>23</v>
      </c>
      <c r="C552">
        <v>11</v>
      </c>
      <c r="D552">
        <v>5</v>
      </c>
      <c r="E552">
        <v>414</v>
      </c>
      <c r="F552">
        <v>304</v>
      </c>
      <c r="G552">
        <v>8.8000000000000007</v>
      </c>
      <c r="H552">
        <v>3.8</v>
      </c>
      <c r="I552">
        <v>5</v>
      </c>
      <c r="J552">
        <v>1</v>
      </c>
      <c r="K552">
        <v>0</v>
      </c>
    </row>
    <row r="553" spans="1:11" x14ac:dyDescent="0.25">
      <c r="A553">
        <v>2013</v>
      </c>
      <c r="B553" t="s">
        <v>32</v>
      </c>
      <c r="C553">
        <v>12</v>
      </c>
      <c r="D553">
        <v>4</v>
      </c>
      <c r="E553">
        <v>406</v>
      </c>
      <c r="F553">
        <v>272</v>
      </c>
      <c r="G553">
        <v>10.1</v>
      </c>
      <c r="H553">
        <v>3.5</v>
      </c>
      <c r="I553">
        <v>6.6</v>
      </c>
      <c r="J553">
        <v>1</v>
      </c>
      <c r="K553">
        <v>0</v>
      </c>
    </row>
    <row r="554" spans="1:11" x14ac:dyDescent="0.25">
      <c r="A554">
        <v>2014</v>
      </c>
      <c r="B554" t="s">
        <v>29</v>
      </c>
      <c r="C554">
        <v>11</v>
      </c>
      <c r="D554">
        <v>5</v>
      </c>
      <c r="E554">
        <v>436</v>
      </c>
      <c r="F554">
        <v>368</v>
      </c>
      <c r="G554">
        <v>2.2000000000000002</v>
      </c>
      <c r="H554">
        <v>4.4000000000000004</v>
      </c>
      <c r="I554">
        <v>-2.1</v>
      </c>
      <c r="J554">
        <v>1</v>
      </c>
      <c r="K554">
        <v>0</v>
      </c>
    </row>
    <row r="555" spans="1:11" x14ac:dyDescent="0.25">
      <c r="A555">
        <v>2014</v>
      </c>
      <c r="B555" t="s">
        <v>11</v>
      </c>
      <c r="C555">
        <v>10</v>
      </c>
      <c r="D555">
        <v>5</v>
      </c>
      <c r="E555">
        <v>365</v>
      </c>
      <c r="F555">
        <v>344</v>
      </c>
      <c r="G555">
        <v>0.7</v>
      </c>
      <c r="H555">
        <v>-0.5</v>
      </c>
      <c r="I555">
        <v>1.3</v>
      </c>
      <c r="J555">
        <v>1</v>
      </c>
      <c r="K555">
        <v>0</v>
      </c>
    </row>
    <row r="556" spans="1:11" x14ac:dyDescent="0.25">
      <c r="A556">
        <v>2014</v>
      </c>
      <c r="B556" t="s">
        <v>7</v>
      </c>
      <c r="C556">
        <v>10</v>
      </c>
      <c r="D556">
        <v>6</v>
      </c>
      <c r="E556">
        <v>409</v>
      </c>
      <c r="F556">
        <v>302</v>
      </c>
      <c r="G556">
        <v>4.5999999999999996</v>
      </c>
      <c r="H556">
        <v>1.8</v>
      </c>
      <c r="I556">
        <v>2.8</v>
      </c>
      <c r="J556">
        <v>1</v>
      </c>
      <c r="K556">
        <v>0</v>
      </c>
    </row>
    <row r="557" spans="1:11" x14ac:dyDescent="0.25">
      <c r="A557">
        <v>2014</v>
      </c>
      <c r="B557" t="s">
        <v>17</v>
      </c>
      <c r="C557">
        <v>11</v>
      </c>
      <c r="D557">
        <v>5</v>
      </c>
      <c r="E557">
        <v>458</v>
      </c>
      <c r="F557">
        <v>369</v>
      </c>
      <c r="G557">
        <v>4.4000000000000004</v>
      </c>
      <c r="H557">
        <v>5.2</v>
      </c>
      <c r="I557">
        <v>-0.8</v>
      </c>
      <c r="J557">
        <v>1</v>
      </c>
      <c r="K557">
        <v>0</v>
      </c>
    </row>
    <row r="558" spans="1:11" x14ac:dyDescent="0.25">
      <c r="A558">
        <v>2014</v>
      </c>
      <c r="B558" t="s">
        <v>14</v>
      </c>
      <c r="C558">
        <v>12</v>
      </c>
      <c r="D558">
        <v>4</v>
      </c>
      <c r="E558">
        <v>482</v>
      </c>
      <c r="F558">
        <v>354</v>
      </c>
      <c r="G558">
        <v>9.6</v>
      </c>
      <c r="H558">
        <v>9.1999999999999993</v>
      </c>
      <c r="I558">
        <v>0.4</v>
      </c>
      <c r="J558">
        <v>1</v>
      </c>
      <c r="K558">
        <v>0</v>
      </c>
    </row>
    <row r="559" spans="1:11" x14ac:dyDescent="0.25">
      <c r="A559">
        <v>2014</v>
      </c>
      <c r="B559" t="s">
        <v>13</v>
      </c>
      <c r="C559">
        <v>12</v>
      </c>
      <c r="D559">
        <v>4</v>
      </c>
      <c r="E559">
        <v>467</v>
      </c>
      <c r="F559">
        <v>352</v>
      </c>
      <c r="G559">
        <v>5.4</v>
      </c>
      <c r="H559">
        <v>5.3</v>
      </c>
      <c r="I559">
        <v>0.1</v>
      </c>
      <c r="J559">
        <v>1</v>
      </c>
      <c r="K559">
        <v>0</v>
      </c>
    </row>
    <row r="560" spans="1:11" x14ac:dyDescent="0.25">
      <c r="A560">
        <v>2014</v>
      </c>
      <c r="B560" t="s">
        <v>16</v>
      </c>
      <c r="C560">
        <v>12</v>
      </c>
      <c r="D560">
        <v>4</v>
      </c>
      <c r="E560">
        <v>486</v>
      </c>
      <c r="F560">
        <v>348</v>
      </c>
      <c r="G560">
        <v>8.3000000000000007</v>
      </c>
      <c r="H560">
        <v>7.9</v>
      </c>
      <c r="I560">
        <v>0.4</v>
      </c>
      <c r="J560">
        <v>1</v>
      </c>
      <c r="K560">
        <v>0</v>
      </c>
    </row>
    <row r="561" spans="1:11" x14ac:dyDescent="0.25">
      <c r="A561">
        <v>2014</v>
      </c>
      <c r="B561" t="s">
        <v>15</v>
      </c>
      <c r="C561">
        <v>11</v>
      </c>
      <c r="D561">
        <v>5</v>
      </c>
      <c r="E561">
        <v>321</v>
      </c>
      <c r="F561">
        <v>282</v>
      </c>
      <c r="G561">
        <v>2.1</v>
      </c>
      <c r="H561">
        <v>-3.2</v>
      </c>
      <c r="I561">
        <v>5.2</v>
      </c>
      <c r="J561">
        <v>1</v>
      </c>
      <c r="K561">
        <v>0</v>
      </c>
    </row>
    <row r="562" spans="1:11" x14ac:dyDescent="0.25">
      <c r="A562">
        <v>2014</v>
      </c>
      <c r="B562" t="s">
        <v>9</v>
      </c>
      <c r="C562">
        <v>7</v>
      </c>
      <c r="D562">
        <v>8</v>
      </c>
      <c r="E562">
        <v>339</v>
      </c>
      <c r="F562">
        <v>374</v>
      </c>
      <c r="G562">
        <v>-3.1</v>
      </c>
      <c r="H562">
        <v>-2.4</v>
      </c>
      <c r="I562">
        <v>-0.7</v>
      </c>
      <c r="J562">
        <v>1</v>
      </c>
      <c r="K562">
        <v>0</v>
      </c>
    </row>
    <row r="563" spans="1:11" x14ac:dyDescent="0.25">
      <c r="A563">
        <v>2014</v>
      </c>
      <c r="B563" t="s">
        <v>33</v>
      </c>
      <c r="C563">
        <v>12</v>
      </c>
      <c r="D563">
        <v>4</v>
      </c>
      <c r="E563">
        <v>394</v>
      </c>
      <c r="F563">
        <v>254</v>
      </c>
      <c r="G563">
        <v>9.5</v>
      </c>
      <c r="H563">
        <v>2.4</v>
      </c>
      <c r="I563">
        <v>7.1</v>
      </c>
      <c r="J563">
        <v>1</v>
      </c>
      <c r="K563">
        <v>0</v>
      </c>
    </row>
    <row r="564" spans="1:11" x14ac:dyDescent="0.25">
      <c r="A564">
        <v>2014</v>
      </c>
      <c r="B564" t="s">
        <v>5</v>
      </c>
      <c r="C564">
        <v>11</v>
      </c>
      <c r="D564">
        <v>5</v>
      </c>
      <c r="E564">
        <v>310</v>
      </c>
      <c r="F564">
        <v>299</v>
      </c>
      <c r="G564">
        <v>2</v>
      </c>
      <c r="H564">
        <v>-2.4</v>
      </c>
      <c r="I564">
        <v>4.4000000000000004</v>
      </c>
      <c r="J564">
        <v>1</v>
      </c>
      <c r="K564">
        <v>0</v>
      </c>
    </row>
    <row r="565" spans="1:11" x14ac:dyDescent="0.25">
      <c r="A565">
        <v>2015</v>
      </c>
      <c r="B565" t="s">
        <v>22</v>
      </c>
      <c r="C565">
        <v>12</v>
      </c>
      <c r="D565">
        <v>4</v>
      </c>
      <c r="E565">
        <v>465</v>
      </c>
      <c r="F565">
        <v>315</v>
      </c>
      <c r="G565">
        <v>7</v>
      </c>
      <c r="H565">
        <v>5.3</v>
      </c>
      <c r="I565">
        <v>1.7</v>
      </c>
      <c r="J565">
        <v>1</v>
      </c>
      <c r="K565">
        <v>0</v>
      </c>
    </row>
    <row r="566" spans="1:11" x14ac:dyDescent="0.25">
      <c r="A566">
        <v>2015</v>
      </c>
      <c r="B566" t="s">
        <v>11</v>
      </c>
      <c r="C566">
        <v>12</v>
      </c>
      <c r="D566">
        <v>4</v>
      </c>
      <c r="E566">
        <v>419</v>
      </c>
      <c r="F566">
        <v>279</v>
      </c>
      <c r="G566">
        <v>10.6</v>
      </c>
      <c r="H566">
        <v>4.8</v>
      </c>
      <c r="I566">
        <v>5.8</v>
      </c>
      <c r="J566">
        <v>1</v>
      </c>
      <c r="K566">
        <v>0</v>
      </c>
    </row>
    <row r="567" spans="1:11" x14ac:dyDescent="0.25">
      <c r="A567">
        <v>2015</v>
      </c>
      <c r="B567" t="s">
        <v>29</v>
      </c>
      <c r="C567">
        <v>10</v>
      </c>
      <c r="D567">
        <v>6</v>
      </c>
      <c r="E567">
        <v>423</v>
      </c>
      <c r="F567">
        <v>319</v>
      </c>
      <c r="G567">
        <v>8.6999999999999993</v>
      </c>
      <c r="H567">
        <v>5.0999999999999996</v>
      </c>
      <c r="I567">
        <v>3.6</v>
      </c>
      <c r="J567">
        <v>1</v>
      </c>
      <c r="K567">
        <v>0</v>
      </c>
    </row>
    <row r="568" spans="1:11" x14ac:dyDescent="0.25">
      <c r="A568">
        <v>2015</v>
      </c>
      <c r="B568" t="s">
        <v>39</v>
      </c>
      <c r="C568">
        <v>9</v>
      </c>
      <c r="D568">
        <v>7</v>
      </c>
      <c r="E568">
        <v>339</v>
      </c>
      <c r="F568">
        <v>313</v>
      </c>
      <c r="G568">
        <v>-0.8</v>
      </c>
      <c r="H568">
        <v>-3.3</v>
      </c>
      <c r="I568">
        <v>2.6</v>
      </c>
      <c r="J568">
        <v>1</v>
      </c>
      <c r="K568">
        <v>0</v>
      </c>
    </row>
    <row r="569" spans="1:11" x14ac:dyDescent="0.25">
      <c r="A569">
        <v>2015</v>
      </c>
      <c r="B569" t="s">
        <v>19</v>
      </c>
      <c r="C569">
        <v>11</v>
      </c>
      <c r="D569">
        <v>5</v>
      </c>
      <c r="E569">
        <v>405</v>
      </c>
      <c r="F569">
        <v>287</v>
      </c>
      <c r="G569">
        <v>9</v>
      </c>
      <c r="H569">
        <v>3.7</v>
      </c>
      <c r="I569">
        <v>5.3</v>
      </c>
      <c r="J569">
        <v>1</v>
      </c>
      <c r="K569">
        <v>0</v>
      </c>
    </row>
    <row r="570" spans="1:11" x14ac:dyDescent="0.25">
      <c r="A570">
        <v>2015</v>
      </c>
      <c r="B570" t="s">
        <v>38</v>
      </c>
      <c r="C570">
        <v>9</v>
      </c>
      <c r="D570">
        <v>7</v>
      </c>
      <c r="E570">
        <v>388</v>
      </c>
      <c r="F570">
        <v>379</v>
      </c>
      <c r="G570">
        <v>-1.9</v>
      </c>
      <c r="H570">
        <v>-0.2</v>
      </c>
      <c r="I570">
        <v>-1.8</v>
      </c>
      <c r="J570">
        <v>1</v>
      </c>
      <c r="K570">
        <v>0</v>
      </c>
    </row>
    <row r="571" spans="1:11" x14ac:dyDescent="0.25">
      <c r="A571">
        <v>2015</v>
      </c>
      <c r="B571" t="s">
        <v>21</v>
      </c>
      <c r="C571">
        <v>11</v>
      </c>
      <c r="D571">
        <v>5</v>
      </c>
      <c r="E571">
        <v>365</v>
      </c>
      <c r="F571">
        <v>302</v>
      </c>
      <c r="G571">
        <v>5.8</v>
      </c>
      <c r="H571">
        <v>1.1000000000000001</v>
      </c>
      <c r="I571">
        <v>4.7</v>
      </c>
      <c r="J571">
        <v>1</v>
      </c>
      <c r="K571">
        <v>0</v>
      </c>
    </row>
    <row r="572" spans="1:11" x14ac:dyDescent="0.25">
      <c r="A572">
        <v>2015</v>
      </c>
      <c r="B572" t="s">
        <v>16</v>
      </c>
      <c r="C572">
        <v>10</v>
      </c>
      <c r="D572">
        <v>6</v>
      </c>
      <c r="E572">
        <v>368</v>
      </c>
      <c r="F572">
        <v>323</v>
      </c>
      <c r="G572">
        <v>5.3</v>
      </c>
      <c r="H572">
        <v>2</v>
      </c>
      <c r="I572">
        <v>3.3</v>
      </c>
      <c r="J572">
        <v>1</v>
      </c>
      <c r="K572">
        <v>0</v>
      </c>
    </row>
    <row r="573" spans="1:11" x14ac:dyDescent="0.25">
      <c r="A573">
        <v>2015</v>
      </c>
      <c r="B573" t="s">
        <v>9</v>
      </c>
      <c r="C573">
        <v>15</v>
      </c>
      <c r="D573">
        <v>1</v>
      </c>
      <c r="E573">
        <v>500</v>
      </c>
      <c r="F573">
        <v>308</v>
      </c>
      <c r="G573">
        <v>8.1</v>
      </c>
      <c r="H573">
        <v>6</v>
      </c>
      <c r="I573">
        <v>2.1</v>
      </c>
      <c r="J573">
        <v>1</v>
      </c>
      <c r="K573">
        <v>0</v>
      </c>
    </row>
    <row r="574" spans="1:11" x14ac:dyDescent="0.25">
      <c r="A574">
        <v>2015</v>
      </c>
      <c r="B574" t="s">
        <v>5</v>
      </c>
      <c r="C574">
        <v>13</v>
      </c>
      <c r="D574">
        <v>3</v>
      </c>
      <c r="E574">
        <v>489</v>
      </c>
      <c r="F574">
        <v>313</v>
      </c>
      <c r="G574">
        <v>12.3</v>
      </c>
      <c r="H574">
        <v>9</v>
      </c>
      <c r="I574">
        <v>3.4</v>
      </c>
      <c r="J574">
        <v>1</v>
      </c>
      <c r="K574">
        <v>0</v>
      </c>
    </row>
    <row r="575" spans="1:11" x14ac:dyDescent="0.25">
      <c r="A575">
        <v>2015</v>
      </c>
      <c r="B575" t="s">
        <v>33</v>
      </c>
      <c r="C575">
        <v>10</v>
      </c>
      <c r="D575">
        <v>6</v>
      </c>
      <c r="E575">
        <v>423</v>
      </c>
      <c r="F575">
        <v>277</v>
      </c>
      <c r="G575">
        <v>11.3</v>
      </c>
      <c r="H575">
        <v>5.4</v>
      </c>
      <c r="I575">
        <v>6</v>
      </c>
      <c r="J575">
        <v>1</v>
      </c>
      <c r="K575">
        <v>0</v>
      </c>
    </row>
    <row r="576" spans="1:11" x14ac:dyDescent="0.25">
      <c r="A576">
        <v>2016</v>
      </c>
      <c r="B576" t="s">
        <v>20</v>
      </c>
      <c r="C576">
        <v>10</v>
      </c>
      <c r="D576">
        <v>6</v>
      </c>
      <c r="E576">
        <v>363</v>
      </c>
      <c r="F576">
        <v>380</v>
      </c>
      <c r="G576">
        <v>-2.4</v>
      </c>
      <c r="H576">
        <v>-0.6</v>
      </c>
      <c r="I576">
        <v>-1.8</v>
      </c>
      <c r="J576">
        <v>1</v>
      </c>
      <c r="K576">
        <v>0</v>
      </c>
    </row>
    <row r="577" spans="1:11" x14ac:dyDescent="0.25">
      <c r="A577">
        <v>2016</v>
      </c>
      <c r="B577" t="s">
        <v>29</v>
      </c>
      <c r="C577">
        <v>11</v>
      </c>
      <c r="D577">
        <v>5</v>
      </c>
      <c r="E577">
        <v>399</v>
      </c>
      <c r="F577">
        <v>327</v>
      </c>
      <c r="G577">
        <v>4.7</v>
      </c>
      <c r="H577">
        <v>2.8</v>
      </c>
      <c r="I577">
        <v>2</v>
      </c>
      <c r="J577">
        <v>1</v>
      </c>
      <c r="K577">
        <v>0</v>
      </c>
    </row>
    <row r="578" spans="1:11" x14ac:dyDescent="0.25">
      <c r="A578">
        <v>2016</v>
      </c>
      <c r="B578" t="s">
        <v>39</v>
      </c>
      <c r="C578">
        <v>9</v>
      </c>
      <c r="D578">
        <v>7</v>
      </c>
      <c r="E578">
        <v>279</v>
      </c>
      <c r="F578">
        <v>328</v>
      </c>
      <c r="G578">
        <v>-2.6</v>
      </c>
      <c r="H578">
        <v>-5.3</v>
      </c>
      <c r="I578">
        <v>2.7</v>
      </c>
      <c r="J578">
        <v>1</v>
      </c>
      <c r="K578">
        <v>0</v>
      </c>
    </row>
    <row r="579" spans="1:11" x14ac:dyDescent="0.25">
      <c r="A579">
        <v>2016</v>
      </c>
      <c r="B579" t="s">
        <v>19</v>
      </c>
      <c r="C579">
        <v>12</v>
      </c>
      <c r="D579">
        <v>4</v>
      </c>
      <c r="E579">
        <v>389</v>
      </c>
      <c r="F579">
        <v>311</v>
      </c>
      <c r="G579">
        <v>5.6</v>
      </c>
      <c r="H579">
        <v>1.2</v>
      </c>
      <c r="I579">
        <v>4.4000000000000004</v>
      </c>
      <c r="J579">
        <v>1</v>
      </c>
      <c r="K579">
        <v>0</v>
      </c>
    </row>
    <row r="580" spans="1:11" x14ac:dyDescent="0.25">
      <c r="A580">
        <v>2016</v>
      </c>
      <c r="B580" t="s">
        <v>27</v>
      </c>
      <c r="C580">
        <v>12</v>
      </c>
      <c r="D580">
        <v>4</v>
      </c>
      <c r="E580">
        <v>416</v>
      </c>
      <c r="F580">
        <v>385</v>
      </c>
      <c r="G580">
        <v>3.3</v>
      </c>
      <c r="H580">
        <v>3.5</v>
      </c>
      <c r="I580">
        <v>-0.3</v>
      </c>
      <c r="J580">
        <v>1</v>
      </c>
      <c r="K580">
        <v>0</v>
      </c>
    </row>
    <row r="581" spans="1:11" x14ac:dyDescent="0.25">
      <c r="A581">
        <v>2016</v>
      </c>
      <c r="B581" t="s">
        <v>13</v>
      </c>
      <c r="C581">
        <v>13</v>
      </c>
      <c r="D581">
        <v>3</v>
      </c>
      <c r="E581">
        <v>421</v>
      </c>
      <c r="F581">
        <v>306</v>
      </c>
      <c r="G581">
        <v>7</v>
      </c>
      <c r="H581">
        <v>4.0999999999999996</v>
      </c>
      <c r="I581">
        <v>2.9</v>
      </c>
      <c r="J581">
        <v>1</v>
      </c>
      <c r="K581">
        <v>0</v>
      </c>
    </row>
    <row r="582" spans="1:11" x14ac:dyDescent="0.25">
      <c r="A582">
        <v>2016</v>
      </c>
      <c r="B582" t="s">
        <v>24</v>
      </c>
      <c r="C582">
        <v>11</v>
      </c>
      <c r="D582">
        <v>5</v>
      </c>
      <c r="E582">
        <v>310</v>
      </c>
      <c r="F582">
        <v>284</v>
      </c>
      <c r="G582">
        <v>2.1</v>
      </c>
      <c r="H582">
        <v>-3.2</v>
      </c>
      <c r="I582">
        <v>5.4</v>
      </c>
      <c r="J582">
        <v>1</v>
      </c>
      <c r="K582">
        <v>0</v>
      </c>
    </row>
    <row r="583" spans="1:11" x14ac:dyDescent="0.25">
      <c r="A583">
        <v>2016</v>
      </c>
      <c r="B583" t="s">
        <v>16</v>
      </c>
      <c r="C583">
        <v>10</v>
      </c>
      <c r="D583">
        <v>6</v>
      </c>
      <c r="E583">
        <v>432</v>
      </c>
      <c r="F583">
        <v>388</v>
      </c>
      <c r="G583">
        <v>2.8</v>
      </c>
      <c r="H583">
        <v>4.9000000000000004</v>
      </c>
      <c r="I583">
        <v>-2</v>
      </c>
      <c r="J583">
        <v>1</v>
      </c>
      <c r="K583">
        <v>0</v>
      </c>
    </row>
    <row r="584" spans="1:11" x14ac:dyDescent="0.25">
      <c r="A584">
        <v>2016</v>
      </c>
      <c r="B584" t="s">
        <v>15</v>
      </c>
      <c r="C584">
        <v>9</v>
      </c>
      <c r="D584">
        <v>7</v>
      </c>
      <c r="E584">
        <v>346</v>
      </c>
      <c r="F584">
        <v>358</v>
      </c>
      <c r="G584">
        <v>-1.4</v>
      </c>
      <c r="H584">
        <v>-1.3</v>
      </c>
      <c r="I584">
        <v>-0.1</v>
      </c>
      <c r="J584">
        <v>1</v>
      </c>
      <c r="K584">
        <v>0</v>
      </c>
    </row>
    <row r="585" spans="1:11" x14ac:dyDescent="0.25">
      <c r="A585">
        <v>2016</v>
      </c>
      <c r="B585" t="s">
        <v>6</v>
      </c>
      <c r="C585">
        <v>11</v>
      </c>
      <c r="D585">
        <v>5</v>
      </c>
      <c r="E585">
        <v>540</v>
      </c>
      <c r="F585">
        <v>406</v>
      </c>
      <c r="G585">
        <v>8.5</v>
      </c>
      <c r="H585">
        <v>10.5</v>
      </c>
      <c r="I585">
        <v>-2</v>
      </c>
      <c r="J585">
        <v>1</v>
      </c>
      <c r="K585">
        <v>0</v>
      </c>
    </row>
    <row r="586" spans="1:11" x14ac:dyDescent="0.25">
      <c r="A586">
        <v>2016</v>
      </c>
      <c r="B586" t="s">
        <v>33</v>
      </c>
      <c r="C586">
        <v>10</v>
      </c>
      <c r="D586">
        <v>5</v>
      </c>
      <c r="E586">
        <v>354</v>
      </c>
      <c r="F586">
        <v>292</v>
      </c>
      <c r="G586">
        <v>2.1</v>
      </c>
      <c r="H586">
        <v>-2.4</v>
      </c>
      <c r="I586">
        <v>4.5</v>
      </c>
      <c r="J586">
        <v>1</v>
      </c>
      <c r="K586">
        <v>0</v>
      </c>
    </row>
    <row r="587" spans="1:11" x14ac:dyDescent="0.25">
      <c r="A587">
        <v>2017</v>
      </c>
      <c r="B587" t="s">
        <v>22</v>
      </c>
      <c r="C587">
        <v>13</v>
      </c>
      <c r="D587">
        <v>3</v>
      </c>
      <c r="E587">
        <v>458</v>
      </c>
      <c r="F587">
        <v>296</v>
      </c>
      <c r="G587">
        <v>8.9</v>
      </c>
      <c r="H587">
        <v>6.3</v>
      </c>
      <c r="I587">
        <v>2.6</v>
      </c>
      <c r="J587">
        <v>1</v>
      </c>
      <c r="K587">
        <v>0</v>
      </c>
    </row>
    <row r="588" spans="1:11" x14ac:dyDescent="0.25">
      <c r="A588">
        <v>2017</v>
      </c>
      <c r="B588" t="s">
        <v>8</v>
      </c>
      <c r="C588">
        <v>9</v>
      </c>
      <c r="D588">
        <v>7</v>
      </c>
      <c r="E588">
        <v>302</v>
      </c>
      <c r="F588">
        <v>359</v>
      </c>
      <c r="G588">
        <v>-4</v>
      </c>
      <c r="H588">
        <v>-3</v>
      </c>
      <c r="I588">
        <v>-1</v>
      </c>
      <c r="J588">
        <v>1</v>
      </c>
      <c r="K588">
        <v>0</v>
      </c>
    </row>
    <row r="589" spans="1:11" x14ac:dyDescent="0.25">
      <c r="A589">
        <v>2017</v>
      </c>
      <c r="B589" t="s">
        <v>29</v>
      </c>
      <c r="C589">
        <v>13</v>
      </c>
      <c r="D589">
        <v>3</v>
      </c>
      <c r="E589">
        <v>406</v>
      </c>
      <c r="F589">
        <v>308</v>
      </c>
      <c r="G589">
        <v>5</v>
      </c>
      <c r="H589">
        <v>3.2</v>
      </c>
      <c r="I589">
        <v>1.8</v>
      </c>
      <c r="J589">
        <v>1</v>
      </c>
      <c r="K589">
        <v>0</v>
      </c>
    </row>
    <row r="590" spans="1:11" x14ac:dyDescent="0.25">
      <c r="A590">
        <v>2017</v>
      </c>
      <c r="B590" t="s">
        <v>18</v>
      </c>
      <c r="C590">
        <v>10</v>
      </c>
      <c r="D590">
        <v>6</v>
      </c>
      <c r="E590">
        <v>417</v>
      </c>
      <c r="F590">
        <v>268</v>
      </c>
      <c r="G590">
        <v>6.5</v>
      </c>
      <c r="H590">
        <v>3</v>
      </c>
      <c r="I590">
        <v>3.6</v>
      </c>
      <c r="J590">
        <v>1</v>
      </c>
      <c r="K590">
        <v>0</v>
      </c>
    </row>
    <row r="591" spans="1:11" x14ac:dyDescent="0.25">
      <c r="A591">
        <v>2017</v>
      </c>
      <c r="B591" t="s">
        <v>37</v>
      </c>
      <c r="C591">
        <v>9</v>
      </c>
      <c r="D591">
        <v>7</v>
      </c>
      <c r="E591">
        <v>334</v>
      </c>
      <c r="F591">
        <v>356</v>
      </c>
      <c r="G591">
        <v>-3.5</v>
      </c>
      <c r="H591">
        <v>-2</v>
      </c>
      <c r="I591">
        <v>-1.5</v>
      </c>
      <c r="J591">
        <v>1</v>
      </c>
      <c r="K591">
        <v>0</v>
      </c>
    </row>
    <row r="592" spans="1:11" x14ac:dyDescent="0.25">
      <c r="A592">
        <v>2017</v>
      </c>
      <c r="B592" t="s">
        <v>19</v>
      </c>
      <c r="C592">
        <v>10</v>
      </c>
      <c r="D592">
        <v>6</v>
      </c>
      <c r="E592">
        <v>415</v>
      </c>
      <c r="F592">
        <v>339</v>
      </c>
      <c r="G592">
        <v>3.4</v>
      </c>
      <c r="H592">
        <v>3.8</v>
      </c>
      <c r="I592">
        <v>-0.3</v>
      </c>
      <c r="J592">
        <v>1</v>
      </c>
      <c r="K592">
        <v>0</v>
      </c>
    </row>
    <row r="593" spans="1:11" x14ac:dyDescent="0.25">
      <c r="A593">
        <v>2017</v>
      </c>
      <c r="B593" t="s">
        <v>21</v>
      </c>
      <c r="C593">
        <v>13</v>
      </c>
      <c r="D593">
        <v>3</v>
      </c>
      <c r="E593">
        <v>382</v>
      </c>
      <c r="F593">
        <v>252</v>
      </c>
      <c r="G593">
        <v>9.1</v>
      </c>
      <c r="H593">
        <v>2.2999999999999998</v>
      </c>
      <c r="I593">
        <v>6.8</v>
      </c>
      <c r="J593">
        <v>1</v>
      </c>
      <c r="K593">
        <v>0</v>
      </c>
    </row>
    <row r="594" spans="1:11" x14ac:dyDescent="0.25">
      <c r="A594">
        <v>2017</v>
      </c>
      <c r="B594" t="s">
        <v>23</v>
      </c>
      <c r="C594">
        <v>11</v>
      </c>
      <c r="D594">
        <v>5</v>
      </c>
      <c r="E594">
        <v>448</v>
      </c>
      <c r="F594">
        <v>326</v>
      </c>
      <c r="G594">
        <v>9.1999999999999993</v>
      </c>
      <c r="H594">
        <v>7</v>
      </c>
      <c r="I594">
        <v>2.2000000000000002</v>
      </c>
      <c r="J594">
        <v>1</v>
      </c>
      <c r="K594">
        <v>0</v>
      </c>
    </row>
    <row r="595" spans="1:11" x14ac:dyDescent="0.25">
      <c r="A595">
        <v>2017</v>
      </c>
      <c r="B595" t="s">
        <v>9</v>
      </c>
      <c r="C595">
        <v>11</v>
      </c>
      <c r="D595">
        <v>5</v>
      </c>
      <c r="E595">
        <v>363</v>
      </c>
      <c r="F595">
        <v>327</v>
      </c>
      <c r="G595">
        <v>4.3</v>
      </c>
      <c r="H595">
        <v>1.7</v>
      </c>
      <c r="I595">
        <v>2.7</v>
      </c>
      <c r="J595">
        <v>1</v>
      </c>
      <c r="K595">
        <v>0</v>
      </c>
    </row>
    <row r="596" spans="1:11" x14ac:dyDescent="0.25">
      <c r="A596">
        <v>2017</v>
      </c>
      <c r="B596" t="s">
        <v>6</v>
      </c>
      <c r="C596">
        <v>10</v>
      </c>
      <c r="D596">
        <v>6</v>
      </c>
      <c r="E596">
        <v>353</v>
      </c>
      <c r="F596">
        <v>315</v>
      </c>
      <c r="G596">
        <v>4.3</v>
      </c>
      <c r="H596">
        <v>1.1000000000000001</v>
      </c>
      <c r="I596">
        <v>3.2</v>
      </c>
      <c r="J596">
        <v>1</v>
      </c>
      <c r="K596">
        <v>0</v>
      </c>
    </row>
    <row r="597" spans="1:11" x14ac:dyDescent="0.25">
      <c r="A597">
        <v>2017</v>
      </c>
      <c r="B597" t="s">
        <v>35</v>
      </c>
      <c r="C597">
        <v>11</v>
      </c>
      <c r="D597">
        <v>5</v>
      </c>
      <c r="E597">
        <v>478</v>
      </c>
      <c r="F597">
        <v>329</v>
      </c>
      <c r="G597">
        <v>9.1999999999999993</v>
      </c>
      <c r="H597">
        <v>8.1999999999999993</v>
      </c>
      <c r="I597">
        <v>1</v>
      </c>
      <c r="J597">
        <v>1</v>
      </c>
      <c r="K597">
        <v>0</v>
      </c>
    </row>
    <row r="598" spans="1:11" x14ac:dyDescent="0.25">
      <c r="A598">
        <v>2018</v>
      </c>
      <c r="B598" t="s">
        <v>7</v>
      </c>
      <c r="C598">
        <v>10</v>
      </c>
      <c r="D598">
        <v>6</v>
      </c>
      <c r="E598">
        <v>389</v>
      </c>
      <c r="F598">
        <v>287</v>
      </c>
      <c r="G598">
        <v>7</v>
      </c>
      <c r="H598">
        <v>0.6</v>
      </c>
      <c r="I598">
        <v>6.4</v>
      </c>
      <c r="J598">
        <v>1</v>
      </c>
      <c r="K598">
        <v>0</v>
      </c>
    </row>
    <row r="599" spans="1:11" x14ac:dyDescent="0.25">
      <c r="A599">
        <v>2018</v>
      </c>
      <c r="B599" t="s">
        <v>39</v>
      </c>
      <c r="C599">
        <v>11</v>
      </c>
      <c r="D599">
        <v>5</v>
      </c>
      <c r="E599">
        <v>402</v>
      </c>
      <c r="F599">
        <v>316</v>
      </c>
      <c r="G599">
        <v>3.8</v>
      </c>
      <c r="H599">
        <v>2.4</v>
      </c>
      <c r="I599">
        <v>1.4</v>
      </c>
      <c r="J599">
        <v>1</v>
      </c>
      <c r="K599">
        <v>0</v>
      </c>
    </row>
    <row r="600" spans="1:11" x14ac:dyDescent="0.25">
      <c r="A600">
        <v>2018</v>
      </c>
      <c r="B600" t="s">
        <v>17</v>
      </c>
      <c r="C600">
        <v>10</v>
      </c>
      <c r="D600">
        <v>6</v>
      </c>
      <c r="E600">
        <v>433</v>
      </c>
      <c r="F600">
        <v>344</v>
      </c>
      <c r="G600">
        <v>3.4</v>
      </c>
      <c r="H600">
        <v>3.9</v>
      </c>
      <c r="I600">
        <v>-0.6</v>
      </c>
      <c r="J600">
        <v>1</v>
      </c>
      <c r="K600">
        <v>0</v>
      </c>
    </row>
    <row r="601" spans="1:11" x14ac:dyDescent="0.25">
      <c r="A601">
        <v>2018</v>
      </c>
      <c r="B601" t="s">
        <v>19</v>
      </c>
      <c r="C601">
        <v>12</v>
      </c>
      <c r="D601">
        <v>4</v>
      </c>
      <c r="E601">
        <v>565</v>
      </c>
      <c r="F601">
        <v>421</v>
      </c>
      <c r="G601">
        <v>8.9</v>
      </c>
      <c r="H601">
        <v>12.6</v>
      </c>
      <c r="I601">
        <v>-3.8</v>
      </c>
      <c r="J601">
        <v>1</v>
      </c>
      <c r="K601">
        <v>0</v>
      </c>
    </row>
    <row r="602" spans="1:11" x14ac:dyDescent="0.25">
      <c r="A602">
        <v>2018</v>
      </c>
      <c r="B602" t="s">
        <v>31</v>
      </c>
      <c r="C602">
        <v>12</v>
      </c>
      <c r="D602">
        <v>4</v>
      </c>
      <c r="E602">
        <v>428</v>
      </c>
      <c r="F602">
        <v>329</v>
      </c>
      <c r="G602">
        <v>6</v>
      </c>
      <c r="H602">
        <v>3</v>
      </c>
      <c r="I602">
        <v>2.9</v>
      </c>
      <c r="J602">
        <v>1</v>
      </c>
      <c r="K602">
        <v>0</v>
      </c>
    </row>
    <row r="603" spans="1:11" x14ac:dyDescent="0.25">
      <c r="A603">
        <v>2018</v>
      </c>
      <c r="B603" t="s">
        <v>13</v>
      </c>
      <c r="C603">
        <v>10</v>
      </c>
      <c r="D603">
        <v>6</v>
      </c>
      <c r="E603">
        <v>339</v>
      </c>
      <c r="F603">
        <v>324</v>
      </c>
      <c r="G603">
        <v>1.1000000000000001</v>
      </c>
      <c r="H603">
        <v>-1.9</v>
      </c>
      <c r="I603">
        <v>2.9</v>
      </c>
      <c r="J603">
        <v>1</v>
      </c>
      <c r="K603">
        <v>0</v>
      </c>
    </row>
    <row r="604" spans="1:11" x14ac:dyDescent="0.25">
      <c r="A604">
        <v>2018</v>
      </c>
      <c r="B604" t="s">
        <v>28</v>
      </c>
      <c r="C604">
        <v>9</v>
      </c>
      <c r="D604">
        <v>7</v>
      </c>
      <c r="E604">
        <v>367</v>
      </c>
      <c r="F604">
        <v>348</v>
      </c>
      <c r="G604">
        <v>1.7</v>
      </c>
      <c r="H604">
        <v>0</v>
      </c>
      <c r="I604">
        <v>1.8</v>
      </c>
      <c r="J604">
        <v>1</v>
      </c>
      <c r="K604">
        <v>0</v>
      </c>
    </row>
    <row r="605" spans="1:11" x14ac:dyDescent="0.25">
      <c r="A605">
        <v>2018</v>
      </c>
      <c r="B605" t="s">
        <v>10</v>
      </c>
      <c r="C605">
        <v>12</v>
      </c>
      <c r="D605">
        <v>4</v>
      </c>
      <c r="E605">
        <v>421</v>
      </c>
      <c r="F605">
        <v>283</v>
      </c>
      <c r="G605">
        <v>6.3</v>
      </c>
      <c r="H605">
        <v>1.5</v>
      </c>
      <c r="I605">
        <v>4.8</v>
      </c>
      <c r="J605">
        <v>1</v>
      </c>
      <c r="K605">
        <v>0</v>
      </c>
    </row>
    <row r="606" spans="1:11" x14ac:dyDescent="0.25">
      <c r="A606">
        <v>2018</v>
      </c>
      <c r="B606" t="s">
        <v>23</v>
      </c>
      <c r="C606">
        <v>13</v>
      </c>
      <c r="D606">
        <v>3</v>
      </c>
      <c r="E606">
        <v>504</v>
      </c>
      <c r="F606">
        <v>353</v>
      </c>
      <c r="G606">
        <v>10.1</v>
      </c>
      <c r="H606">
        <v>7.9</v>
      </c>
      <c r="I606">
        <v>2.2000000000000002</v>
      </c>
      <c r="J606">
        <v>1</v>
      </c>
      <c r="K606">
        <v>0</v>
      </c>
    </row>
    <row r="607" spans="1:11" x14ac:dyDescent="0.25">
      <c r="A607">
        <v>2018</v>
      </c>
      <c r="B607" t="s">
        <v>35</v>
      </c>
      <c r="C607">
        <v>13</v>
      </c>
      <c r="D607">
        <v>3</v>
      </c>
      <c r="E607">
        <v>527</v>
      </c>
      <c r="F607">
        <v>384</v>
      </c>
      <c r="G607">
        <v>8.5</v>
      </c>
      <c r="H607">
        <v>9.5</v>
      </c>
      <c r="I607">
        <v>-1.1000000000000001</v>
      </c>
      <c r="J607">
        <v>1</v>
      </c>
      <c r="K607">
        <v>0</v>
      </c>
    </row>
    <row r="608" spans="1:11" x14ac:dyDescent="0.25">
      <c r="A608">
        <v>2018</v>
      </c>
      <c r="B608" t="s">
        <v>33</v>
      </c>
      <c r="C608">
        <v>10</v>
      </c>
      <c r="D608">
        <v>6</v>
      </c>
      <c r="E608">
        <v>428</v>
      </c>
      <c r="F608">
        <v>347</v>
      </c>
      <c r="G608">
        <v>4.5</v>
      </c>
      <c r="H608">
        <v>3</v>
      </c>
      <c r="I608">
        <v>1.5</v>
      </c>
      <c r="J608">
        <v>1</v>
      </c>
      <c r="K608">
        <v>0</v>
      </c>
    </row>
    <row r="609" spans="1:11" x14ac:dyDescent="0.25">
      <c r="A609">
        <v>2019</v>
      </c>
      <c r="B609" t="s">
        <v>22</v>
      </c>
      <c r="C609">
        <v>12</v>
      </c>
      <c r="D609">
        <v>4</v>
      </c>
      <c r="E609">
        <v>420</v>
      </c>
      <c r="F609">
        <v>225</v>
      </c>
      <c r="G609">
        <v>10.4</v>
      </c>
      <c r="H609">
        <v>2.8</v>
      </c>
      <c r="I609">
        <v>7.6</v>
      </c>
      <c r="J609">
        <v>1</v>
      </c>
      <c r="K609">
        <v>0</v>
      </c>
    </row>
    <row r="610" spans="1:11" x14ac:dyDescent="0.25">
      <c r="A610">
        <v>2019</v>
      </c>
      <c r="B610" t="s">
        <v>8</v>
      </c>
      <c r="C610">
        <v>10</v>
      </c>
      <c r="D610">
        <v>6</v>
      </c>
      <c r="E610">
        <v>314</v>
      </c>
      <c r="F610">
        <v>259</v>
      </c>
      <c r="G610">
        <v>2.2000000000000002</v>
      </c>
      <c r="H610">
        <v>-3.5</v>
      </c>
      <c r="I610">
        <v>5.7</v>
      </c>
      <c r="J610">
        <v>1</v>
      </c>
      <c r="K610">
        <v>0</v>
      </c>
    </row>
    <row r="611" spans="1:11" x14ac:dyDescent="0.25">
      <c r="A611">
        <v>2019</v>
      </c>
      <c r="B611" t="s">
        <v>7</v>
      </c>
      <c r="C611">
        <v>14</v>
      </c>
      <c r="D611">
        <v>2</v>
      </c>
      <c r="E611">
        <v>531</v>
      </c>
      <c r="F611">
        <v>282</v>
      </c>
      <c r="G611">
        <v>15.6</v>
      </c>
      <c r="H611">
        <v>11</v>
      </c>
      <c r="I611">
        <v>4.7</v>
      </c>
      <c r="J611">
        <v>1</v>
      </c>
      <c r="K611">
        <v>0</v>
      </c>
    </row>
    <row r="612" spans="1:11" x14ac:dyDescent="0.25">
      <c r="A612">
        <v>2019</v>
      </c>
      <c r="B612" t="s">
        <v>39</v>
      </c>
      <c r="C612">
        <v>10</v>
      </c>
      <c r="D612">
        <v>6</v>
      </c>
      <c r="E612">
        <v>378</v>
      </c>
      <c r="F612">
        <v>385</v>
      </c>
      <c r="G612">
        <v>0.5</v>
      </c>
      <c r="H612">
        <v>1</v>
      </c>
      <c r="I612">
        <v>-0.5</v>
      </c>
      <c r="J612">
        <v>1</v>
      </c>
      <c r="K612">
        <v>0</v>
      </c>
    </row>
    <row r="613" spans="1:11" x14ac:dyDescent="0.25">
      <c r="A613">
        <v>2019</v>
      </c>
      <c r="B613" t="s">
        <v>37</v>
      </c>
      <c r="C613">
        <v>9</v>
      </c>
      <c r="D613">
        <v>7</v>
      </c>
      <c r="E613">
        <v>402</v>
      </c>
      <c r="F613">
        <v>331</v>
      </c>
      <c r="G613">
        <v>3.4</v>
      </c>
      <c r="H613">
        <v>1.8</v>
      </c>
      <c r="I613">
        <v>1.7</v>
      </c>
      <c r="J613">
        <v>1</v>
      </c>
      <c r="K613">
        <v>0</v>
      </c>
    </row>
    <row r="614" spans="1:11" x14ac:dyDescent="0.25">
      <c r="A614">
        <v>2019</v>
      </c>
      <c r="B614" t="s">
        <v>28</v>
      </c>
      <c r="C614">
        <v>9</v>
      </c>
      <c r="D614">
        <v>7</v>
      </c>
      <c r="E614">
        <v>385</v>
      </c>
      <c r="F614">
        <v>354</v>
      </c>
      <c r="G614">
        <v>0.3</v>
      </c>
      <c r="H614">
        <v>0.7</v>
      </c>
      <c r="I614">
        <v>-0.4</v>
      </c>
      <c r="J614">
        <v>1</v>
      </c>
      <c r="K614">
        <v>0</v>
      </c>
    </row>
    <row r="615" spans="1:11" x14ac:dyDescent="0.25">
      <c r="A615">
        <v>2019</v>
      </c>
      <c r="B615" t="s">
        <v>16</v>
      </c>
      <c r="C615">
        <v>13</v>
      </c>
      <c r="D615">
        <v>3</v>
      </c>
      <c r="E615">
        <v>376</v>
      </c>
      <c r="F615">
        <v>313</v>
      </c>
      <c r="G615">
        <v>3.2</v>
      </c>
      <c r="H615">
        <v>0.6</v>
      </c>
      <c r="I615">
        <v>2.6</v>
      </c>
      <c r="J615">
        <v>1</v>
      </c>
      <c r="K615">
        <v>0</v>
      </c>
    </row>
    <row r="616" spans="1:11" x14ac:dyDescent="0.25">
      <c r="A616">
        <v>2019</v>
      </c>
      <c r="B616" t="s">
        <v>21</v>
      </c>
      <c r="C616">
        <v>10</v>
      </c>
      <c r="D616">
        <v>6</v>
      </c>
      <c r="E616">
        <v>407</v>
      </c>
      <c r="F616">
        <v>303</v>
      </c>
      <c r="G616">
        <v>5.4</v>
      </c>
      <c r="H616">
        <v>2.5</v>
      </c>
      <c r="I616">
        <v>2.9</v>
      </c>
      <c r="J616">
        <v>1</v>
      </c>
      <c r="K616">
        <v>0</v>
      </c>
    </row>
    <row r="617" spans="1:11" x14ac:dyDescent="0.25">
      <c r="A617">
        <v>2019</v>
      </c>
      <c r="B617" t="s">
        <v>23</v>
      </c>
      <c r="C617">
        <v>13</v>
      </c>
      <c r="D617">
        <v>3</v>
      </c>
      <c r="E617">
        <v>458</v>
      </c>
      <c r="F617">
        <v>341</v>
      </c>
      <c r="G617">
        <v>7.4</v>
      </c>
      <c r="H617">
        <v>5</v>
      </c>
      <c r="I617">
        <v>2.2999999999999998</v>
      </c>
      <c r="J617">
        <v>1</v>
      </c>
      <c r="K617">
        <v>0</v>
      </c>
    </row>
    <row r="618" spans="1:11" x14ac:dyDescent="0.25">
      <c r="A618">
        <v>2019</v>
      </c>
      <c r="B618" t="s">
        <v>32</v>
      </c>
      <c r="C618">
        <v>13</v>
      </c>
      <c r="D618">
        <v>3</v>
      </c>
      <c r="E618">
        <v>479</v>
      </c>
      <c r="F618">
        <v>310</v>
      </c>
      <c r="G618">
        <v>11</v>
      </c>
      <c r="H618">
        <v>6.7</v>
      </c>
      <c r="I618">
        <v>4.3</v>
      </c>
      <c r="J618">
        <v>1</v>
      </c>
      <c r="K618">
        <v>0</v>
      </c>
    </row>
    <row r="619" spans="1:11" x14ac:dyDescent="0.25">
      <c r="A619">
        <v>2019</v>
      </c>
      <c r="B619" t="s">
        <v>33</v>
      </c>
      <c r="C619">
        <v>11</v>
      </c>
      <c r="D619">
        <v>5</v>
      </c>
      <c r="E619">
        <v>405</v>
      </c>
      <c r="F619">
        <v>398</v>
      </c>
      <c r="G619">
        <v>2.7</v>
      </c>
      <c r="H619">
        <v>2.9</v>
      </c>
      <c r="I619">
        <v>-0.2</v>
      </c>
      <c r="J619">
        <v>1</v>
      </c>
      <c r="K619">
        <v>0</v>
      </c>
    </row>
    <row r="620" spans="1:11" x14ac:dyDescent="0.25">
      <c r="A620">
        <v>2000</v>
      </c>
      <c r="B620" t="s">
        <v>7</v>
      </c>
      <c r="C620">
        <v>12</v>
      </c>
      <c r="D620">
        <v>4</v>
      </c>
      <c r="E620">
        <v>333</v>
      </c>
      <c r="F620">
        <v>165</v>
      </c>
      <c r="G620">
        <v>8</v>
      </c>
      <c r="H620">
        <v>0</v>
      </c>
      <c r="I620">
        <v>8</v>
      </c>
      <c r="J620">
        <v>1</v>
      </c>
      <c r="K620">
        <v>1</v>
      </c>
    </row>
    <row r="621" spans="1:11" x14ac:dyDescent="0.25">
      <c r="A621">
        <v>2001</v>
      </c>
      <c r="B621" t="s">
        <v>22</v>
      </c>
      <c r="C621">
        <v>11</v>
      </c>
      <c r="D621">
        <v>5</v>
      </c>
      <c r="E621">
        <v>371</v>
      </c>
      <c r="F621">
        <v>272</v>
      </c>
      <c r="G621">
        <v>4.3</v>
      </c>
      <c r="H621">
        <v>1.2</v>
      </c>
      <c r="I621">
        <v>3.1</v>
      </c>
      <c r="J621">
        <v>1</v>
      </c>
      <c r="K621">
        <v>1</v>
      </c>
    </row>
    <row r="622" spans="1:11" x14ac:dyDescent="0.25">
      <c r="A622">
        <v>2002</v>
      </c>
      <c r="B622" t="s">
        <v>36</v>
      </c>
      <c r="C622">
        <v>12</v>
      </c>
      <c r="D622">
        <v>4</v>
      </c>
      <c r="E622">
        <v>346</v>
      </c>
      <c r="F622">
        <v>196</v>
      </c>
      <c r="G622">
        <v>8.8000000000000007</v>
      </c>
      <c r="H622">
        <v>-1</v>
      </c>
      <c r="I622">
        <v>9.8000000000000007</v>
      </c>
      <c r="J622">
        <v>1</v>
      </c>
      <c r="K622">
        <v>1</v>
      </c>
    </row>
    <row r="623" spans="1:11" x14ac:dyDescent="0.25">
      <c r="A623">
        <v>2003</v>
      </c>
      <c r="B623" t="s">
        <v>22</v>
      </c>
      <c r="C623">
        <v>14</v>
      </c>
      <c r="D623">
        <v>2</v>
      </c>
      <c r="E623">
        <v>348</v>
      </c>
      <c r="F623">
        <v>238</v>
      </c>
      <c r="G623">
        <v>6.9</v>
      </c>
      <c r="H623">
        <v>2.1</v>
      </c>
      <c r="I623">
        <v>4.9000000000000004</v>
      </c>
      <c r="J623">
        <v>1</v>
      </c>
      <c r="K623">
        <v>1</v>
      </c>
    </row>
    <row r="624" spans="1:11" x14ac:dyDescent="0.25">
      <c r="A624">
        <v>2004</v>
      </c>
      <c r="B624" t="s">
        <v>22</v>
      </c>
      <c r="C624">
        <v>14</v>
      </c>
      <c r="D624">
        <v>2</v>
      </c>
      <c r="E624">
        <v>437</v>
      </c>
      <c r="F624">
        <v>260</v>
      </c>
      <c r="G624">
        <v>12.8</v>
      </c>
      <c r="H624">
        <v>6.4</v>
      </c>
      <c r="I624">
        <v>6.5</v>
      </c>
      <c r="J624">
        <v>1</v>
      </c>
      <c r="K624">
        <v>1</v>
      </c>
    </row>
    <row r="625" spans="1:11" x14ac:dyDescent="0.25">
      <c r="A625">
        <v>2005</v>
      </c>
      <c r="B625" t="s">
        <v>29</v>
      </c>
      <c r="C625">
        <v>11</v>
      </c>
      <c r="D625">
        <v>5</v>
      </c>
      <c r="E625">
        <v>389</v>
      </c>
      <c r="F625">
        <v>258</v>
      </c>
      <c r="G625">
        <v>7.8</v>
      </c>
      <c r="H625">
        <v>3.8</v>
      </c>
      <c r="I625">
        <v>4</v>
      </c>
      <c r="J625">
        <v>1</v>
      </c>
      <c r="K625">
        <v>1</v>
      </c>
    </row>
    <row r="626" spans="1:11" x14ac:dyDescent="0.25">
      <c r="A626">
        <v>2006</v>
      </c>
      <c r="B626" t="s">
        <v>17</v>
      </c>
      <c r="C626">
        <v>12</v>
      </c>
      <c r="D626">
        <v>4</v>
      </c>
      <c r="E626">
        <v>427</v>
      </c>
      <c r="F626">
        <v>360</v>
      </c>
      <c r="G626">
        <v>5.9</v>
      </c>
      <c r="H626">
        <v>6.9</v>
      </c>
      <c r="I626">
        <v>-1.1000000000000001</v>
      </c>
      <c r="J626">
        <v>1</v>
      </c>
      <c r="K626">
        <v>1</v>
      </c>
    </row>
    <row r="627" spans="1:11" x14ac:dyDescent="0.25">
      <c r="A627">
        <v>2007</v>
      </c>
      <c r="B627" t="s">
        <v>24</v>
      </c>
      <c r="C627">
        <v>10</v>
      </c>
      <c r="D627">
        <v>6</v>
      </c>
      <c r="E627">
        <v>373</v>
      </c>
      <c r="F627">
        <v>351</v>
      </c>
      <c r="G627">
        <v>3.3</v>
      </c>
      <c r="H627">
        <v>2.8</v>
      </c>
      <c r="I627">
        <v>0.4</v>
      </c>
      <c r="J627">
        <v>1</v>
      </c>
      <c r="K627">
        <v>1</v>
      </c>
    </row>
    <row r="628" spans="1:11" x14ac:dyDescent="0.25">
      <c r="A628">
        <v>2008</v>
      </c>
      <c r="B628" t="s">
        <v>29</v>
      </c>
      <c r="C628">
        <v>12</v>
      </c>
      <c r="D628">
        <v>4</v>
      </c>
      <c r="E628">
        <v>347</v>
      </c>
      <c r="F628">
        <v>223</v>
      </c>
      <c r="G628">
        <v>9.8000000000000007</v>
      </c>
      <c r="H628">
        <v>1.6</v>
      </c>
      <c r="I628">
        <v>8.1999999999999993</v>
      </c>
      <c r="J628">
        <v>1</v>
      </c>
      <c r="K628">
        <v>1</v>
      </c>
    </row>
    <row r="629" spans="1:11" x14ac:dyDescent="0.25">
      <c r="A629">
        <v>2009</v>
      </c>
      <c r="B629" t="s">
        <v>23</v>
      </c>
      <c r="C629">
        <v>13</v>
      </c>
      <c r="D629">
        <v>3</v>
      </c>
      <c r="E629">
        <v>510</v>
      </c>
      <c r="F629">
        <v>341</v>
      </c>
      <c r="G629">
        <v>10.8</v>
      </c>
      <c r="H629">
        <v>11.2</v>
      </c>
      <c r="I629">
        <v>-0.5</v>
      </c>
      <c r="J629">
        <v>1</v>
      </c>
      <c r="K629">
        <v>1</v>
      </c>
    </row>
    <row r="630" spans="1:11" x14ac:dyDescent="0.25">
      <c r="A630">
        <v>2010</v>
      </c>
      <c r="B630" t="s">
        <v>16</v>
      </c>
      <c r="C630">
        <v>10</v>
      </c>
      <c r="D630">
        <v>6</v>
      </c>
      <c r="E630">
        <v>388</v>
      </c>
      <c r="F630">
        <v>240</v>
      </c>
      <c r="G630">
        <v>10.9</v>
      </c>
      <c r="H630">
        <v>3.1</v>
      </c>
      <c r="I630">
        <v>7.9</v>
      </c>
      <c r="J630">
        <v>1</v>
      </c>
      <c r="K630">
        <v>1</v>
      </c>
    </row>
    <row r="631" spans="1:11" x14ac:dyDescent="0.25">
      <c r="A631">
        <v>2011</v>
      </c>
      <c r="B631" t="s">
        <v>24</v>
      </c>
      <c r="C631">
        <v>9</v>
      </c>
      <c r="D631">
        <v>7</v>
      </c>
      <c r="E631">
        <v>394</v>
      </c>
      <c r="F631">
        <v>400</v>
      </c>
      <c r="G631">
        <v>1.6</v>
      </c>
      <c r="H631">
        <v>3.1</v>
      </c>
      <c r="I631">
        <v>-1.5</v>
      </c>
      <c r="J631">
        <v>1</v>
      </c>
      <c r="K631">
        <v>1</v>
      </c>
    </row>
    <row r="632" spans="1:11" x14ac:dyDescent="0.25">
      <c r="A632">
        <v>2012</v>
      </c>
      <c r="B632" t="s">
        <v>7</v>
      </c>
      <c r="C632">
        <v>10</v>
      </c>
      <c r="D632">
        <v>6</v>
      </c>
      <c r="E632">
        <v>398</v>
      </c>
      <c r="F632">
        <v>344</v>
      </c>
      <c r="G632">
        <v>2.9</v>
      </c>
      <c r="H632">
        <v>1.9</v>
      </c>
      <c r="I632">
        <v>1</v>
      </c>
      <c r="J632">
        <v>1</v>
      </c>
      <c r="K632">
        <v>1</v>
      </c>
    </row>
    <row r="633" spans="1:11" x14ac:dyDescent="0.25">
      <c r="A633">
        <v>2013</v>
      </c>
      <c r="B633" t="s">
        <v>33</v>
      </c>
      <c r="C633">
        <v>13</v>
      </c>
      <c r="D633">
        <v>3</v>
      </c>
      <c r="E633">
        <v>417</v>
      </c>
      <c r="F633">
        <v>231</v>
      </c>
      <c r="G633">
        <v>13</v>
      </c>
      <c r="H633">
        <v>4.0999999999999996</v>
      </c>
      <c r="I633">
        <v>8.9</v>
      </c>
      <c r="J633">
        <v>1</v>
      </c>
      <c r="K633">
        <v>1</v>
      </c>
    </row>
    <row r="634" spans="1:11" x14ac:dyDescent="0.25">
      <c r="A634">
        <v>2014</v>
      </c>
      <c r="B634" t="s">
        <v>22</v>
      </c>
      <c r="C634">
        <v>12</v>
      </c>
      <c r="D634">
        <v>4</v>
      </c>
      <c r="E634">
        <v>468</v>
      </c>
      <c r="F634">
        <v>313</v>
      </c>
      <c r="G634">
        <v>10.9</v>
      </c>
      <c r="H634">
        <v>7.5</v>
      </c>
      <c r="I634">
        <v>3.5</v>
      </c>
      <c r="J634">
        <v>1</v>
      </c>
      <c r="K634">
        <v>1</v>
      </c>
    </row>
    <row r="635" spans="1:11" x14ac:dyDescent="0.25">
      <c r="A635">
        <v>2015</v>
      </c>
      <c r="B635" t="s">
        <v>14</v>
      </c>
      <c r="C635">
        <v>12</v>
      </c>
      <c r="D635">
        <v>4</v>
      </c>
      <c r="E635">
        <v>355</v>
      </c>
      <c r="F635">
        <v>296</v>
      </c>
      <c r="G635">
        <v>5.8</v>
      </c>
      <c r="H635">
        <v>0.3</v>
      </c>
      <c r="I635">
        <v>5.5</v>
      </c>
      <c r="J635">
        <v>1</v>
      </c>
      <c r="K635">
        <v>1</v>
      </c>
    </row>
    <row r="636" spans="1:11" x14ac:dyDescent="0.25">
      <c r="A636">
        <v>2016</v>
      </c>
      <c r="B636" t="s">
        <v>22</v>
      </c>
      <c r="C636">
        <v>14</v>
      </c>
      <c r="D636">
        <v>2</v>
      </c>
      <c r="E636">
        <v>441</v>
      </c>
      <c r="F636">
        <v>250</v>
      </c>
      <c r="G636">
        <v>9.3000000000000007</v>
      </c>
      <c r="H636">
        <v>4.3</v>
      </c>
      <c r="I636">
        <v>5</v>
      </c>
      <c r="J636">
        <v>1</v>
      </c>
      <c r="K636">
        <v>1</v>
      </c>
    </row>
    <row r="637" spans="1:11" x14ac:dyDescent="0.25">
      <c r="A637">
        <v>2017</v>
      </c>
      <c r="B637" t="s">
        <v>28</v>
      </c>
      <c r="C637">
        <v>13</v>
      </c>
      <c r="D637">
        <v>3</v>
      </c>
      <c r="E637">
        <v>457</v>
      </c>
      <c r="F637">
        <v>295</v>
      </c>
      <c r="G637">
        <v>9.4</v>
      </c>
      <c r="H637">
        <v>7</v>
      </c>
      <c r="I637">
        <v>2.5</v>
      </c>
      <c r="J637">
        <v>1</v>
      </c>
      <c r="K637">
        <v>1</v>
      </c>
    </row>
    <row r="638" spans="1:11" x14ac:dyDescent="0.25">
      <c r="A638">
        <v>2018</v>
      </c>
      <c r="B638" t="s">
        <v>22</v>
      </c>
      <c r="C638">
        <v>11</v>
      </c>
      <c r="D638">
        <v>5</v>
      </c>
      <c r="E638">
        <v>436</v>
      </c>
      <c r="F638">
        <v>325</v>
      </c>
      <c r="G638">
        <v>5.2</v>
      </c>
      <c r="H638">
        <v>3.1</v>
      </c>
      <c r="I638">
        <v>2.1</v>
      </c>
      <c r="J638">
        <v>1</v>
      </c>
      <c r="K638">
        <v>1</v>
      </c>
    </row>
    <row r="639" spans="1:11" x14ac:dyDescent="0.25">
      <c r="A639">
        <v>2019</v>
      </c>
      <c r="B639" t="s">
        <v>19</v>
      </c>
      <c r="C639">
        <v>12</v>
      </c>
      <c r="D639">
        <v>4</v>
      </c>
      <c r="E639">
        <v>451</v>
      </c>
      <c r="F639">
        <v>308</v>
      </c>
      <c r="G639">
        <v>9.1</v>
      </c>
      <c r="H639">
        <v>6.2</v>
      </c>
      <c r="I639">
        <v>2.9</v>
      </c>
      <c r="J639">
        <v>1</v>
      </c>
      <c r="K639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9C24-D6B7-437D-9CB8-FC11CBB661ED}">
  <dimension ref="A1:I33"/>
  <sheetViews>
    <sheetView workbookViewId="0">
      <selection activeCell="G33" sqref="G2:G33"/>
    </sheetView>
  </sheetViews>
  <sheetFormatPr defaultRowHeight="15" x14ac:dyDescent="0.25"/>
  <cols>
    <col min="1" max="1" width="24.25" customWidth="1"/>
    <col min="2" max="2" width="24.875" customWidth="1"/>
    <col min="3" max="3" width="26.25" customWidth="1"/>
    <col min="4" max="4" width="11.875" customWidth="1"/>
    <col min="5" max="5" width="12.625" customWidth="1"/>
    <col min="6" max="6" width="13.5" customWidth="1"/>
    <col min="7" max="7" width="10.375" customWidth="1"/>
    <col min="8" max="8" width="17.75" customWidth="1"/>
    <col min="9" max="9" width="10.75" customWidth="1"/>
  </cols>
  <sheetData>
    <row r="1" spans="1:9" x14ac:dyDescent="0.25">
      <c r="A1" t="s">
        <v>4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 t="s">
        <v>8</v>
      </c>
      <c r="B2" t="s">
        <v>48</v>
      </c>
      <c r="C2" t="s">
        <v>49</v>
      </c>
      <c r="D2">
        <v>42.773772999999998</v>
      </c>
      <c r="E2">
        <v>-78.787459999999996</v>
      </c>
      <c r="F2" t="s">
        <v>50</v>
      </c>
      <c r="G2" t="s">
        <v>51</v>
      </c>
      <c r="H2">
        <v>0</v>
      </c>
      <c r="I2">
        <v>1959</v>
      </c>
    </row>
    <row r="3" spans="1:9" x14ac:dyDescent="0.25">
      <c r="A3" t="s">
        <v>20</v>
      </c>
      <c r="B3" t="s">
        <v>52</v>
      </c>
      <c r="C3" t="s">
        <v>53</v>
      </c>
      <c r="D3">
        <v>25.95796</v>
      </c>
      <c r="E3">
        <v>-80.239311000000001</v>
      </c>
      <c r="F3" t="s">
        <v>50</v>
      </c>
      <c r="G3" t="s">
        <v>51</v>
      </c>
      <c r="H3">
        <v>2</v>
      </c>
      <c r="I3">
        <v>1965</v>
      </c>
    </row>
    <row r="4" spans="1:9" x14ac:dyDescent="0.25">
      <c r="A4" t="s">
        <v>22</v>
      </c>
      <c r="B4" t="s">
        <v>54</v>
      </c>
      <c r="C4" t="s">
        <v>55</v>
      </c>
      <c r="D4">
        <v>42.087832980000002</v>
      </c>
      <c r="E4">
        <v>-71.258665629999996</v>
      </c>
      <c r="F4" t="s">
        <v>50</v>
      </c>
      <c r="G4" t="s">
        <v>51</v>
      </c>
      <c r="H4">
        <v>6</v>
      </c>
      <c r="I4">
        <v>1959</v>
      </c>
    </row>
    <row r="5" spans="1:9" x14ac:dyDescent="0.25">
      <c r="A5" t="s">
        <v>25</v>
      </c>
      <c r="B5" t="s">
        <v>56</v>
      </c>
      <c r="C5" t="s">
        <v>57</v>
      </c>
      <c r="D5">
        <v>40.813777999999999</v>
      </c>
      <c r="E5">
        <v>-74.217121000000006</v>
      </c>
      <c r="F5" t="s">
        <v>50</v>
      </c>
      <c r="G5" t="s">
        <v>51</v>
      </c>
      <c r="H5">
        <v>1</v>
      </c>
      <c r="I5">
        <v>1959</v>
      </c>
    </row>
    <row r="6" spans="1:9" x14ac:dyDescent="0.25">
      <c r="A6" t="s">
        <v>14</v>
      </c>
      <c r="B6" t="s">
        <v>58</v>
      </c>
      <c r="C6" t="s">
        <v>59</v>
      </c>
      <c r="D6">
        <v>39.744129000000001</v>
      </c>
      <c r="E6">
        <v>-105.02082799999999</v>
      </c>
      <c r="F6" t="s">
        <v>50</v>
      </c>
      <c r="G6" t="s">
        <v>60</v>
      </c>
      <c r="H6">
        <v>3</v>
      </c>
      <c r="I6">
        <v>1959</v>
      </c>
    </row>
    <row r="7" spans="1:9" x14ac:dyDescent="0.25">
      <c r="A7" t="s">
        <v>19</v>
      </c>
      <c r="B7" t="s">
        <v>61</v>
      </c>
      <c r="C7" t="s">
        <v>62</v>
      </c>
      <c r="D7">
        <v>39.048786</v>
      </c>
      <c r="E7">
        <v>-94.484566000000001</v>
      </c>
      <c r="F7" t="s">
        <v>50</v>
      </c>
      <c r="G7" t="s">
        <v>60</v>
      </c>
      <c r="H7">
        <v>3</v>
      </c>
      <c r="I7">
        <v>1959</v>
      </c>
    </row>
    <row r="8" spans="1:9" x14ac:dyDescent="0.25">
      <c r="A8" t="s">
        <v>27</v>
      </c>
      <c r="B8" t="s">
        <v>63</v>
      </c>
      <c r="C8" t="s">
        <v>64</v>
      </c>
      <c r="D8">
        <v>36.090794000000002</v>
      </c>
      <c r="E8">
        <v>-115.18395200000001</v>
      </c>
      <c r="F8" t="s">
        <v>50</v>
      </c>
      <c r="G8" t="s">
        <v>60</v>
      </c>
      <c r="H8">
        <v>3</v>
      </c>
      <c r="I8">
        <v>1960</v>
      </c>
    </row>
    <row r="9" spans="1:9" x14ac:dyDescent="0.25">
      <c r="A9" t="s">
        <v>31</v>
      </c>
      <c r="B9" t="s">
        <v>65</v>
      </c>
      <c r="C9" t="s">
        <v>66</v>
      </c>
      <c r="D9">
        <v>33.953586999999999</v>
      </c>
      <c r="E9">
        <v>-118.48244099999999</v>
      </c>
      <c r="F9" t="s">
        <v>50</v>
      </c>
      <c r="G9" t="s">
        <v>60</v>
      </c>
      <c r="H9">
        <v>0</v>
      </c>
      <c r="I9">
        <v>1959</v>
      </c>
    </row>
    <row r="10" spans="1:9" x14ac:dyDescent="0.25">
      <c r="A10" t="s">
        <v>7</v>
      </c>
      <c r="B10" t="s">
        <v>67</v>
      </c>
      <c r="C10" t="s">
        <v>68</v>
      </c>
      <c r="D10">
        <v>39.278087999999997</v>
      </c>
      <c r="E10">
        <v>-76.623322000000002</v>
      </c>
      <c r="F10" t="s">
        <v>50</v>
      </c>
      <c r="G10" t="s">
        <v>69</v>
      </c>
      <c r="H10">
        <v>2</v>
      </c>
      <c r="I10">
        <v>1996</v>
      </c>
    </row>
    <row r="11" spans="1:9" x14ac:dyDescent="0.25">
      <c r="A11" t="s">
        <v>11</v>
      </c>
      <c r="B11" t="s">
        <v>70</v>
      </c>
      <c r="C11" t="s">
        <v>71</v>
      </c>
      <c r="D11">
        <v>39.096305999999998</v>
      </c>
      <c r="E11">
        <v>-84.516846000000001</v>
      </c>
      <c r="F11" t="s">
        <v>50</v>
      </c>
      <c r="G11" t="s">
        <v>69</v>
      </c>
      <c r="H11">
        <v>0</v>
      </c>
      <c r="I11">
        <v>1967</v>
      </c>
    </row>
    <row r="12" spans="1:9" x14ac:dyDescent="0.25">
      <c r="A12" t="s">
        <v>12</v>
      </c>
      <c r="B12" t="s">
        <v>72</v>
      </c>
      <c r="C12" t="s">
        <v>73</v>
      </c>
      <c r="D12">
        <v>41.506034999999997</v>
      </c>
      <c r="E12">
        <v>-81.700057999999999</v>
      </c>
      <c r="F12" t="s">
        <v>50</v>
      </c>
      <c r="G12" t="s">
        <v>69</v>
      </c>
      <c r="H12">
        <v>0</v>
      </c>
      <c r="I12">
        <v>1944</v>
      </c>
    </row>
    <row r="13" spans="1:9" x14ac:dyDescent="0.25">
      <c r="A13" t="s">
        <v>29</v>
      </c>
      <c r="B13" t="s">
        <v>74</v>
      </c>
      <c r="C13" t="s">
        <v>75</v>
      </c>
      <c r="D13">
        <v>40.441331570000003</v>
      </c>
      <c r="E13">
        <v>-80.009499959999999</v>
      </c>
      <c r="F13" t="s">
        <v>50</v>
      </c>
      <c r="G13" t="s">
        <v>69</v>
      </c>
      <c r="H13">
        <v>6</v>
      </c>
      <c r="I13">
        <v>1933</v>
      </c>
    </row>
    <row r="14" spans="1:9" x14ac:dyDescent="0.25">
      <c r="A14" t="s">
        <v>39</v>
      </c>
      <c r="B14" t="s">
        <v>76</v>
      </c>
      <c r="C14" t="s">
        <v>77</v>
      </c>
      <c r="D14">
        <v>29.68486</v>
      </c>
      <c r="E14">
        <v>-95.411666999999994</v>
      </c>
      <c r="F14" t="s">
        <v>50</v>
      </c>
      <c r="G14" t="s">
        <v>78</v>
      </c>
      <c r="H14">
        <v>0</v>
      </c>
      <c r="I14">
        <v>1999</v>
      </c>
    </row>
    <row r="15" spans="1:9" x14ac:dyDescent="0.25">
      <c r="A15" t="s">
        <v>17</v>
      </c>
      <c r="B15" t="s">
        <v>79</v>
      </c>
      <c r="C15" t="s">
        <v>80</v>
      </c>
      <c r="D15">
        <v>39.759990999999999</v>
      </c>
      <c r="E15">
        <v>-86.163712000000004</v>
      </c>
      <c r="F15" t="s">
        <v>50</v>
      </c>
      <c r="G15" t="s">
        <v>78</v>
      </c>
      <c r="H15">
        <v>2</v>
      </c>
      <c r="I15">
        <v>1953</v>
      </c>
    </row>
    <row r="16" spans="1:9" x14ac:dyDescent="0.25">
      <c r="A16" t="s">
        <v>18</v>
      </c>
      <c r="B16" t="s">
        <v>81</v>
      </c>
      <c r="C16" t="s">
        <v>82</v>
      </c>
      <c r="D16">
        <v>30.323471000000001</v>
      </c>
      <c r="E16">
        <v>-81.636527999999998</v>
      </c>
      <c r="F16" t="s">
        <v>50</v>
      </c>
      <c r="G16" t="s">
        <v>78</v>
      </c>
      <c r="H16">
        <v>0</v>
      </c>
      <c r="I16">
        <v>1993</v>
      </c>
    </row>
    <row r="17" spans="1:9" x14ac:dyDescent="0.25">
      <c r="A17" t="s">
        <v>37</v>
      </c>
      <c r="B17" t="s">
        <v>83</v>
      </c>
      <c r="C17" t="s">
        <v>84</v>
      </c>
      <c r="D17">
        <v>36.166479000000002</v>
      </c>
      <c r="E17">
        <v>-86.771289999999993</v>
      </c>
      <c r="F17" t="s">
        <v>50</v>
      </c>
      <c r="G17" t="s">
        <v>78</v>
      </c>
      <c r="H17">
        <v>0</v>
      </c>
      <c r="I17">
        <v>1959</v>
      </c>
    </row>
    <row r="18" spans="1:9" x14ac:dyDescent="0.25">
      <c r="A18" t="s">
        <v>13</v>
      </c>
      <c r="B18" t="s">
        <v>85</v>
      </c>
      <c r="C18" t="s">
        <v>86</v>
      </c>
      <c r="D18">
        <v>32.747841000000001</v>
      </c>
      <c r="E18">
        <v>-97.093627999999995</v>
      </c>
      <c r="F18" t="s">
        <v>87</v>
      </c>
      <c r="G18" t="s">
        <v>51</v>
      </c>
      <c r="H18">
        <v>5</v>
      </c>
      <c r="I18">
        <v>1960</v>
      </c>
    </row>
    <row r="19" spans="1:9" x14ac:dyDescent="0.25">
      <c r="A19" t="s">
        <v>24</v>
      </c>
      <c r="B19" t="s">
        <v>56</v>
      </c>
      <c r="C19" t="s">
        <v>57</v>
      </c>
      <c r="D19">
        <v>40.813777999999999</v>
      </c>
      <c r="E19">
        <v>-74.074309999999997</v>
      </c>
      <c r="F19" t="s">
        <v>87</v>
      </c>
      <c r="G19" t="s">
        <v>51</v>
      </c>
      <c r="H19">
        <v>4</v>
      </c>
      <c r="I19">
        <v>1925</v>
      </c>
    </row>
    <row r="20" spans="1:9" x14ac:dyDescent="0.25">
      <c r="A20" t="s">
        <v>28</v>
      </c>
      <c r="B20" t="s">
        <v>88</v>
      </c>
      <c r="C20" t="s">
        <v>89</v>
      </c>
      <c r="D20">
        <v>39.900897999999998</v>
      </c>
      <c r="E20">
        <v>-75.168098000000001</v>
      </c>
      <c r="F20" t="s">
        <v>87</v>
      </c>
      <c r="G20" t="s">
        <v>51</v>
      </c>
      <c r="H20">
        <v>1</v>
      </c>
      <c r="I20">
        <v>1933</v>
      </c>
    </row>
    <row r="21" spans="1:9" x14ac:dyDescent="0.25">
      <c r="A21" t="s">
        <v>38</v>
      </c>
      <c r="B21" t="s">
        <v>90</v>
      </c>
      <c r="C21" t="s">
        <v>91</v>
      </c>
      <c r="D21">
        <v>38.904663050000003</v>
      </c>
      <c r="E21">
        <v>-76.858663230000005</v>
      </c>
      <c r="F21" t="s">
        <v>87</v>
      </c>
      <c r="G21" t="s">
        <v>51</v>
      </c>
      <c r="H21">
        <v>3</v>
      </c>
      <c r="I21">
        <v>1932</v>
      </c>
    </row>
    <row r="22" spans="1:9" x14ac:dyDescent="0.25">
      <c r="A22" t="s">
        <v>5</v>
      </c>
      <c r="B22" t="s">
        <v>92</v>
      </c>
      <c r="C22" t="s">
        <v>93</v>
      </c>
      <c r="D22">
        <v>33.527282999999997</v>
      </c>
      <c r="E22">
        <v>-112.26327499999999</v>
      </c>
      <c r="F22" t="s">
        <v>87</v>
      </c>
      <c r="G22" t="s">
        <v>60</v>
      </c>
      <c r="H22">
        <v>0</v>
      </c>
      <c r="I22">
        <v>1898</v>
      </c>
    </row>
    <row r="23" spans="1:9" x14ac:dyDescent="0.25">
      <c r="A23" t="s">
        <v>35</v>
      </c>
      <c r="B23" t="s">
        <v>65</v>
      </c>
      <c r="C23" t="s">
        <v>66</v>
      </c>
      <c r="D23">
        <v>33.953586999999999</v>
      </c>
      <c r="E23">
        <v>-118.33963</v>
      </c>
      <c r="F23" t="s">
        <v>87</v>
      </c>
      <c r="G23" t="s">
        <v>60</v>
      </c>
      <c r="H23">
        <v>2</v>
      </c>
      <c r="I23">
        <v>1937</v>
      </c>
    </row>
    <row r="24" spans="1:9" x14ac:dyDescent="0.25">
      <c r="A24" t="s">
        <v>32</v>
      </c>
      <c r="B24" t="s">
        <v>94</v>
      </c>
      <c r="C24" t="s">
        <v>95</v>
      </c>
      <c r="D24">
        <v>37.402014889999997</v>
      </c>
      <c r="E24">
        <v>-121.96886910000001</v>
      </c>
      <c r="F24" t="s">
        <v>87</v>
      </c>
      <c r="G24" t="s">
        <v>60</v>
      </c>
      <c r="H24">
        <v>5</v>
      </c>
      <c r="I24">
        <v>1944</v>
      </c>
    </row>
    <row r="25" spans="1:9" x14ac:dyDescent="0.25">
      <c r="A25" t="s">
        <v>33</v>
      </c>
      <c r="B25" t="s">
        <v>96</v>
      </c>
      <c r="C25" t="s">
        <v>97</v>
      </c>
      <c r="D25">
        <v>47.590497640000002</v>
      </c>
      <c r="E25">
        <v>-122.32566540000001</v>
      </c>
      <c r="F25" t="s">
        <v>87</v>
      </c>
      <c r="G25" t="s">
        <v>60</v>
      </c>
      <c r="H25">
        <v>1</v>
      </c>
      <c r="I25">
        <v>1974</v>
      </c>
    </row>
    <row r="26" spans="1:9" x14ac:dyDescent="0.25">
      <c r="A26" t="s">
        <v>10</v>
      </c>
      <c r="B26" t="s">
        <v>98</v>
      </c>
      <c r="C26" t="s">
        <v>99</v>
      </c>
      <c r="D26">
        <v>41.862366000000002</v>
      </c>
      <c r="E26">
        <v>-87.617255999999998</v>
      </c>
      <c r="F26" t="s">
        <v>87</v>
      </c>
      <c r="G26" t="s">
        <v>69</v>
      </c>
      <c r="H26">
        <v>1</v>
      </c>
      <c r="I26">
        <v>1920</v>
      </c>
    </row>
    <row r="27" spans="1:9" x14ac:dyDescent="0.25">
      <c r="A27" t="s">
        <v>15</v>
      </c>
      <c r="B27" t="s">
        <v>100</v>
      </c>
      <c r="C27" t="s">
        <v>101</v>
      </c>
      <c r="D27">
        <v>42.340114999999997</v>
      </c>
      <c r="E27">
        <v>-83.046340999999998</v>
      </c>
      <c r="F27" t="s">
        <v>87</v>
      </c>
      <c r="G27" t="s">
        <v>69</v>
      </c>
      <c r="H27">
        <v>0</v>
      </c>
      <c r="I27">
        <v>1930</v>
      </c>
    </row>
    <row r="28" spans="1:9" x14ac:dyDescent="0.25">
      <c r="A28" t="s">
        <v>16</v>
      </c>
      <c r="B28" t="s">
        <v>102</v>
      </c>
      <c r="C28" t="s">
        <v>103</v>
      </c>
      <c r="D28">
        <v>44.500831329999997</v>
      </c>
      <c r="E28">
        <v>-88.057333099999994</v>
      </c>
      <c r="F28" t="s">
        <v>87</v>
      </c>
      <c r="G28" t="s">
        <v>69</v>
      </c>
      <c r="H28">
        <v>4</v>
      </c>
      <c r="I28">
        <v>1919</v>
      </c>
    </row>
    <row r="29" spans="1:9" x14ac:dyDescent="0.25">
      <c r="A29" t="s">
        <v>21</v>
      </c>
      <c r="B29" t="s">
        <v>104</v>
      </c>
      <c r="C29" t="s">
        <v>105</v>
      </c>
      <c r="D29">
        <v>44.973773999999999</v>
      </c>
      <c r="E29">
        <v>-93.258735999999999</v>
      </c>
      <c r="F29" t="s">
        <v>87</v>
      </c>
      <c r="G29" t="s">
        <v>69</v>
      </c>
      <c r="H29">
        <v>0</v>
      </c>
      <c r="I29">
        <v>1960</v>
      </c>
    </row>
    <row r="30" spans="1:9" x14ac:dyDescent="0.25">
      <c r="A30" t="s">
        <v>6</v>
      </c>
      <c r="B30" t="s">
        <v>106</v>
      </c>
      <c r="C30" t="s">
        <v>107</v>
      </c>
      <c r="D30">
        <v>33.755488999999997</v>
      </c>
      <c r="E30">
        <v>-84.401993000000004</v>
      </c>
      <c r="F30" t="s">
        <v>87</v>
      </c>
      <c r="G30" t="s">
        <v>78</v>
      </c>
      <c r="H30">
        <v>0</v>
      </c>
      <c r="I30">
        <v>1965</v>
      </c>
    </row>
    <row r="31" spans="1:9" x14ac:dyDescent="0.25">
      <c r="A31" t="s">
        <v>9</v>
      </c>
      <c r="B31" t="s">
        <v>108</v>
      </c>
      <c r="C31" t="s">
        <v>109</v>
      </c>
      <c r="D31">
        <v>35.225845</v>
      </c>
      <c r="E31">
        <v>-80.853606999999997</v>
      </c>
      <c r="F31" t="s">
        <v>87</v>
      </c>
      <c r="G31" t="s">
        <v>78</v>
      </c>
      <c r="H31">
        <v>0</v>
      </c>
      <c r="I31">
        <v>1993</v>
      </c>
    </row>
    <row r="32" spans="1:9" x14ac:dyDescent="0.25">
      <c r="A32" t="s">
        <v>23</v>
      </c>
      <c r="B32" t="s">
        <v>110</v>
      </c>
      <c r="C32" t="s">
        <v>111</v>
      </c>
      <c r="D32">
        <v>29.951439000000001</v>
      </c>
      <c r="E32">
        <v>-90.081969999999998</v>
      </c>
      <c r="F32" t="s">
        <v>87</v>
      </c>
      <c r="G32" t="s">
        <v>78</v>
      </c>
      <c r="H32">
        <v>1</v>
      </c>
      <c r="I32">
        <v>1966</v>
      </c>
    </row>
    <row r="33" spans="1:9" x14ac:dyDescent="0.25">
      <c r="A33" t="s">
        <v>36</v>
      </c>
      <c r="B33" t="s">
        <v>112</v>
      </c>
      <c r="C33" t="s">
        <v>113</v>
      </c>
      <c r="D33">
        <v>27.975957999999999</v>
      </c>
      <c r="E33">
        <v>-82.503692999999998</v>
      </c>
      <c r="F33" t="s">
        <v>87</v>
      </c>
      <c r="G33" t="s">
        <v>78</v>
      </c>
      <c r="H33">
        <v>2</v>
      </c>
      <c r="I33">
        <v>1974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F892-648D-45FD-88CD-179CC1C00151}">
  <dimension ref="A1:C40"/>
  <sheetViews>
    <sheetView workbookViewId="0">
      <selection activeCell="F5" sqref="F5"/>
    </sheetView>
  </sheetViews>
  <sheetFormatPr defaultRowHeight="15" x14ac:dyDescent="0.25"/>
  <cols>
    <col min="1" max="1" width="26" customWidth="1"/>
    <col min="2" max="2" width="20.875" customWidth="1"/>
    <col min="3" max="3" width="17" customWidth="1"/>
  </cols>
  <sheetData>
    <row r="1" spans="1:3" x14ac:dyDescent="0.25">
      <c r="A1" t="s">
        <v>114</v>
      </c>
      <c r="B1" t="s">
        <v>4</v>
      </c>
      <c r="C1" s="3" t="s">
        <v>181</v>
      </c>
    </row>
    <row r="2" spans="1:3" x14ac:dyDescent="0.25">
      <c r="A2" t="s">
        <v>93</v>
      </c>
      <c r="B2" t="s">
        <v>5</v>
      </c>
      <c r="C2" s="3">
        <v>49383</v>
      </c>
    </row>
    <row r="3" spans="1:3" x14ac:dyDescent="0.25">
      <c r="A3" t="s">
        <v>66</v>
      </c>
      <c r="B3" t="s">
        <v>35</v>
      </c>
      <c r="C3" s="3">
        <v>46389</v>
      </c>
    </row>
    <row r="4" spans="1:3" x14ac:dyDescent="0.25">
      <c r="A4" t="s">
        <v>115</v>
      </c>
      <c r="B4" t="s">
        <v>31</v>
      </c>
      <c r="C4" s="3">
        <v>54501</v>
      </c>
    </row>
    <row r="5" spans="1:3" x14ac:dyDescent="0.25">
      <c r="A5" t="s">
        <v>116</v>
      </c>
      <c r="B5" t="s">
        <v>32</v>
      </c>
      <c r="C5" s="3">
        <v>96265</v>
      </c>
    </row>
    <row r="6" spans="1:3" x14ac:dyDescent="0.25">
      <c r="A6" t="s">
        <v>95</v>
      </c>
      <c r="B6" t="s">
        <v>32</v>
      </c>
      <c r="C6" s="3">
        <v>108609</v>
      </c>
    </row>
    <row r="7" spans="1:3" x14ac:dyDescent="0.25">
      <c r="A7" t="s">
        <v>59</v>
      </c>
      <c r="B7" t="s">
        <v>14</v>
      </c>
      <c r="C7" s="3">
        <v>60098</v>
      </c>
    </row>
    <row r="8" spans="1:3" x14ac:dyDescent="0.25">
      <c r="A8" t="s">
        <v>117</v>
      </c>
      <c r="B8" t="s">
        <v>38</v>
      </c>
      <c r="C8" s="3">
        <v>77649</v>
      </c>
    </row>
    <row r="9" spans="1:3" x14ac:dyDescent="0.25">
      <c r="A9" t="s">
        <v>82</v>
      </c>
      <c r="B9" t="s">
        <v>18</v>
      </c>
      <c r="C9" s="3">
        <v>50555</v>
      </c>
    </row>
    <row r="10" spans="1:3" x14ac:dyDescent="0.25">
      <c r="A10" t="s">
        <v>118</v>
      </c>
      <c r="B10" t="s">
        <v>20</v>
      </c>
      <c r="C10" s="3">
        <v>33999</v>
      </c>
    </row>
    <row r="11" spans="1:3" x14ac:dyDescent="0.25">
      <c r="A11" t="s">
        <v>53</v>
      </c>
      <c r="B11" t="s">
        <v>20</v>
      </c>
      <c r="C11" s="3">
        <v>41139</v>
      </c>
    </row>
    <row r="12" spans="1:3" x14ac:dyDescent="0.25">
      <c r="A12" t="s">
        <v>113</v>
      </c>
      <c r="B12" t="s">
        <v>36</v>
      </c>
      <c r="C12" s="3">
        <v>48245</v>
      </c>
    </row>
    <row r="13" spans="1:3" x14ac:dyDescent="0.25">
      <c r="A13" t="s">
        <v>107</v>
      </c>
      <c r="B13" t="s">
        <v>6</v>
      </c>
      <c r="C13" s="3">
        <v>51701</v>
      </c>
    </row>
    <row r="14" spans="1:3" x14ac:dyDescent="0.25">
      <c r="A14" t="s">
        <v>99</v>
      </c>
      <c r="B14" t="s">
        <v>10</v>
      </c>
      <c r="C14" s="3">
        <v>52497</v>
      </c>
    </row>
    <row r="15" spans="1:3" x14ac:dyDescent="0.25">
      <c r="A15" t="s">
        <v>111</v>
      </c>
      <c r="B15" t="s">
        <v>23</v>
      </c>
      <c r="C15" s="3">
        <v>38721</v>
      </c>
    </row>
    <row r="16" spans="1:3" x14ac:dyDescent="0.25">
      <c r="A16" t="s">
        <v>91</v>
      </c>
      <c r="B16" t="s">
        <v>38</v>
      </c>
      <c r="C16" s="3">
        <v>53694</v>
      </c>
    </row>
    <row r="17" spans="1:3" x14ac:dyDescent="0.25">
      <c r="A17" t="s">
        <v>119</v>
      </c>
      <c r="B17" t="s">
        <v>22</v>
      </c>
      <c r="C17" s="3">
        <v>62021</v>
      </c>
    </row>
    <row r="18" spans="1:3" x14ac:dyDescent="0.25">
      <c r="A18" t="s">
        <v>55</v>
      </c>
      <c r="B18" t="s">
        <v>22</v>
      </c>
      <c r="C18" s="3">
        <v>69309</v>
      </c>
    </row>
    <row r="19" spans="1:3" x14ac:dyDescent="0.25">
      <c r="A19" t="s">
        <v>101</v>
      </c>
      <c r="B19" t="s">
        <v>15</v>
      </c>
      <c r="C19" s="3">
        <v>27838</v>
      </c>
    </row>
    <row r="20" spans="1:3" x14ac:dyDescent="0.25">
      <c r="A20" t="s">
        <v>105</v>
      </c>
      <c r="B20" t="s">
        <v>21</v>
      </c>
      <c r="C20" s="3">
        <v>55720</v>
      </c>
    </row>
    <row r="21" spans="1:3" x14ac:dyDescent="0.25">
      <c r="A21" t="s">
        <v>62</v>
      </c>
      <c r="B21" t="s">
        <v>19</v>
      </c>
      <c r="C21" s="3">
        <v>50136</v>
      </c>
    </row>
    <row r="22" spans="1:3" x14ac:dyDescent="0.25">
      <c r="A22" t="s">
        <v>120</v>
      </c>
      <c r="B22" t="s">
        <v>27</v>
      </c>
      <c r="C22" s="3">
        <v>53159</v>
      </c>
    </row>
    <row r="23" spans="1:3" x14ac:dyDescent="0.25">
      <c r="A23" t="s">
        <v>64</v>
      </c>
      <c r="B23" t="s">
        <v>27</v>
      </c>
      <c r="C23" s="3">
        <v>45904</v>
      </c>
    </row>
    <row r="24" spans="1:3" x14ac:dyDescent="0.25">
      <c r="A24" t="s">
        <v>57</v>
      </c>
      <c r="B24" t="s">
        <v>24</v>
      </c>
      <c r="C24" s="3">
        <v>77400</v>
      </c>
    </row>
    <row r="25" spans="1:3" x14ac:dyDescent="0.25">
      <c r="A25" t="s">
        <v>121</v>
      </c>
      <c r="B25" t="s">
        <v>8</v>
      </c>
      <c r="C25" s="3">
        <v>34268</v>
      </c>
    </row>
    <row r="26" spans="1:3" x14ac:dyDescent="0.25">
      <c r="A26" t="s">
        <v>122</v>
      </c>
      <c r="B26" t="s">
        <v>25</v>
      </c>
      <c r="C26" s="3">
        <v>57782</v>
      </c>
    </row>
    <row r="27" spans="1:3" x14ac:dyDescent="0.25">
      <c r="A27" t="s">
        <v>49</v>
      </c>
      <c r="B27" t="s">
        <v>8</v>
      </c>
      <c r="C27" s="3">
        <v>89679</v>
      </c>
    </row>
    <row r="28" spans="1:3" x14ac:dyDescent="0.25">
      <c r="A28" t="s">
        <v>109</v>
      </c>
      <c r="B28" t="s">
        <v>9</v>
      </c>
      <c r="C28" s="3">
        <v>58202</v>
      </c>
    </row>
    <row r="29" spans="1:3" x14ac:dyDescent="0.25">
      <c r="A29" t="s">
        <v>71</v>
      </c>
      <c r="B29" t="s">
        <v>11</v>
      </c>
      <c r="C29" s="3">
        <v>36429</v>
      </c>
    </row>
    <row r="30" spans="1:3" x14ac:dyDescent="0.25">
      <c r="A30" t="s">
        <v>73</v>
      </c>
      <c r="B30" t="s">
        <v>12</v>
      </c>
      <c r="C30" s="3">
        <v>27854</v>
      </c>
    </row>
    <row r="31" spans="1:3" x14ac:dyDescent="0.25">
      <c r="A31" t="s">
        <v>89</v>
      </c>
      <c r="B31" t="s">
        <v>28</v>
      </c>
      <c r="C31" s="3">
        <v>40649</v>
      </c>
    </row>
    <row r="32" spans="1:3" x14ac:dyDescent="0.25">
      <c r="A32" t="s">
        <v>75</v>
      </c>
      <c r="B32" t="s">
        <v>29</v>
      </c>
      <c r="C32" s="3">
        <v>44092</v>
      </c>
    </row>
    <row r="33" spans="1:3" x14ac:dyDescent="0.25">
      <c r="A33" t="s">
        <v>84</v>
      </c>
      <c r="B33" t="s">
        <v>37</v>
      </c>
      <c r="C33" s="3">
        <v>52858</v>
      </c>
    </row>
    <row r="34" spans="1:3" x14ac:dyDescent="0.25">
      <c r="A34" t="s">
        <v>86</v>
      </c>
      <c r="B34" t="s">
        <v>13</v>
      </c>
      <c r="C34" s="3">
        <v>55562</v>
      </c>
    </row>
    <row r="35" spans="1:3" x14ac:dyDescent="0.25">
      <c r="A35" t="s">
        <v>77</v>
      </c>
      <c r="B35" t="s">
        <v>39</v>
      </c>
      <c r="C35" s="3">
        <v>49399</v>
      </c>
    </row>
    <row r="36" spans="1:3" x14ac:dyDescent="0.25">
      <c r="A36" t="s">
        <v>97</v>
      </c>
      <c r="B36" t="s">
        <v>33</v>
      </c>
      <c r="C36" s="3">
        <v>79565</v>
      </c>
    </row>
    <row r="37" spans="1:3" x14ac:dyDescent="0.25">
      <c r="A37" t="s">
        <v>103</v>
      </c>
      <c r="B37" t="s">
        <v>16</v>
      </c>
      <c r="C37" s="3">
        <v>45473</v>
      </c>
    </row>
    <row r="38" spans="1:3" x14ac:dyDescent="0.25">
      <c r="A38" t="s">
        <v>80</v>
      </c>
      <c r="B38" t="s">
        <v>17</v>
      </c>
      <c r="C38" s="3">
        <v>44709</v>
      </c>
    </row>
    <row r="39" spans="1:3" x14ac:dyDescent="0.25">
      <c r="A39" t="s">
        <v>68</v>
      </c>
      <c r="B39" t="s">
        <v>7</v>
      </c>
      <c r="C39" s="3">
        <v>46641</v>
      </c>
    </row>
    <row r="40" spans="1:3" x14ac:dyDescent="0.25">
      <c r="A40" t="s">
        <v>149</v>
      </c>
      <c r="B40" t="s">
        <v>27</v>
      </c>
      <c r="C40" s="3">
        <v>63251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76FA-ED3A-48E2-AD57-743AF04D5E08}">
  <dimension ref="A1:C25"/>
  <sheetViews>
    <sheetView zoomScaleNormal="100" workbookViewId="0">
      <selection activeCell="P46" sqref="P46"/>
    </sheetView>
  </sheetViews>
  <sheetFormatPr defaultRowHeight="15" x14ac:dyDescent="0.25"/>
  <cols>
    <col min="2" max="2" width="11.875" customWidth="1"/>
    <col min="3" max="3" width="13.125" customWidth="1"/>
  </cols>
  <sheetData>
    <row r="1" spans="1:3" x14ac:dyDescent="0.25">
      <c r="A1" t="s">
        <v>154</v>
      </c>
      <c r="B1" t="s">
        <v>148</v>
      </c>
      <c r="C1" t="s">
        <v>179</v>
      </c>
    </row>
    <row r="2" spans="1:3" x14ac:dyDescent="0.25">
      <c r="A2" t="s">
        <v>155</v>
      </c>
      <c r="B2">
        <v>137</v>
      </c>
      <c r="C2">
        <v>1</v>
      </c>
    </row>
    <row r="3" spans="1:3" x14ac:dyDescent="0.25">
      <c r="A3" t="s">
        <v>156</v>
      </c>
      <c r="B3">
        <v>454</v>
      </c>
      <c r="C3">
        <v>3</v>
      </c>
    </row>
    <row r="4" spans="1:3" x14ac:dyDescent="0.25">
      <c r="A4" t="s">
        <v>157</v>
      </c>
      <c r="B4">
        <v>182</v>
      </c>
      <c r="C4">
        <v>1</v>
      </c>
    </row>
    <row r="5" spans="1:3" x14ac:dyDescent="0.25">
      <c r="A5" t="s">
        <v>158</v>
      </c>
      <c r="B5">
        <v>0</v>
      </c>
      <c r="C5">
        <v>0</v>
      </c>
    </row>
    <row r="6" spans="1:3" x14ac:dyDescent="0.25">
      <c r="A6" t="s">
        <v>159</v>
      </c>
      <c r="B6">
        <v>414</v>
      </c>
      <c r="C6">
        <v>3</v>
      </c>
    </row>
    <row r="7" spans="1:3" x14ac:dyDescent="0.25">
      <c r="A7" t="s">
        <v>160</v>
      </c>
      <c r="B7">
        <v>164</v>
      </c>
      <c r="C7">
        <v>1</v>
      </c>
    </row>
    <row r="8" spans="1:3" x14ac:dyDescent="0.25">
      <c r="A8" t="s">
        <v>161</v>
      </c>
      <c r="B8">
        <v>157</v>
      </c>
      <c r="C8">
        <v>1</v>
      </c>
    </row>
    <row r="9" spans="1:3" x14ac:dyDescent="0.25">
      <c r="A9" t="s">
        <v>162</v>
      </c>
      <c r="B9">
        <v>183</v>
      </c>
      <c r="C9">
        <v>1</v>
      </c>
    </row>
    <row r="10" spans="1:3" x14ac:dyDescent="0.25">
      <c r="A10" t="s">
        <v>163</v>
      </c>
      <c r="B10">
        <v>322</v>
      </c>
      <c r="C10">
        <v>2</v>
      </c>
    </row>
    <row r="11" spans="1:3" x14ac:dyDescent="0.25">
      <c r="A11" t="s">
        <v>164</v>
      </c>
      <c r="B11">
        <v>237</v>
      </c>
      <c r="C11">
        <v>1</v>
      </c>
    </row>
    <row r="12" spans="1:3" x14ac:dyDescent="0.25">
      <c r="A12" t="s">
        <v>165</v>
      </c>
      <c r="B12">
        <v>114</v>
      </c>
      <c r="C12">
        <v>1</v>
      </c>
    </row>
    <row r="13" spans="1:3" x14ac:dyDescent="0.25">
      <c r="A13" t="s">
        <v>166</v>
      </c>
      <c r="B13">
        <v>165</v>
      </c>
      <c r="C13">
        <v>1</v>
      </c>
    </row>
    <row r="14" spans="1:3" x14ac:dyDescent="0.25">
      <c r="A14" t="s">
        <v>167</v>
      </c>
      <c r="B14">
        <v>166</v>
      </c>
      <c r="C14">
        <v>1</v>
      </c>
    </row>
    <row r="15" spans="1:3" x14ac:dyDescent="0.25">
      <c r="A15" t="s">
        <v>168</v>
      </c>
      <c r="B15">
        <v>125</v>
      </c>
      <c r="C15">
        <v>1</v>
      </c>
    </row>
    <row r="16" spans="1:3" x14ac:dyDescent="0.25">
      <c r="A16" t="s">
        <v>169</v>
      </c>
      <c r="B16">
        <v>306</v>
      </c>
      <c r="C16">
        <v>2</v>
      </c>
    </row>
    <row r="17" spans="1:3" x14ac:dyDescent="0.25">
      <c r="A17" t="s">
        <v>170</v>
      </c>
      <c r="B17">
        <v>137</v>
      </c>
      <c r="C17">
        <v>1</v>
      </c>
    </row>
    <row r="18" spans="1:3" x14ac:dyDescent="0.25">
      <c r="A18" t="s">
        <v>171</v>
      </c>
      <c r="B18">
        <v>157</v>
      </c>
      <c r="C18">
        <v>1</v>
      </c>
    </row>
    <row r="19" spans="1:3" x14ac:dyDescent="0.25">
      <c r="A19" t="s">
        <v>172</v>
      </c>
      <c r="B19">
        <v>290</v>
      </c>
      <c r="C19">
        <v>2</v>
      </c>
    </row>
    <row r="20" spans="1:3" x14ac:dyDescent="0.25">
      <c r="A20" t="s">
        <v>173</v>
      </c>
      <c r="B20">
        <v>395</v>
      </c>
      <c r="C20">
        <v>2</v>
      </c>
    </row>
    <row r="21" spans="1:3" x14ac:dyDescent="0.25">
      <c r="A21" t="s">
        <v>174</v>
      </c>
      <c r="B21">
        <v>160</v>
      </c>
      <c r="C21">
        <v>1</v>
      </c>
    </row>
    <row r="22" spans="1:3" x14ac:dyDescent="0.25">
      <c r="A22" t="s">
        <v>175</v>
      </c>
      <c r="B22">
        <v>299</v>
      </c>
      <c r="C22">
        <v>2</v>
      </c>
    </row>
    <row r="23" spans="1:3" x14ac:dyDescent="0.25">
      <c r="A23" t="s">
        <v>176</v>
      </c>
      <c r="B23">
        <v>182</v>
      </c>
      <c r="C23">
        <v>1</v>
      </c>
    </row>
    <row r="24" spans="1:3" x14ac:dyDescent="0.25">
      <c r="A24" t="s">
        <v>177</v>
      </c>
      <c r="B24">
        <v>197</v>
      </c>
      <c r="C24">
        <v>1</v>
      </c>
    </row>
    <row r="25" spans="1:3" x14ac:dyDescent="0.25">
      <c r="A25" t="s">
        <v>178</v>
      </c>
      <c r="B25">
        <v>197</v>
      </c>
      <c r="C25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116D-5FC8-4213-9264-376EB7305F18}">
  <dimension ref="A1:E45"/>
  <sheetViews>
    <sheetView workbookViewId="0">
      <selection activeCell="Q42" sqref="Q42"/>
    </sheetView>
  </sheetViews>
  <sheetFormatPr defaultRowHeight="15" x14ac:dyDescent="0.25"/>
  <cols>
    <col min="1" max="1" width="9.625" customWidth="1"/>
    <col min="2" max="2" width="12.5" customWidth="1"/>
    <col min="3" max="3" width="15" customWidth="1"/>
    <col min="4" max="4" width="20.5" customWidth="1"/>
    <col min="5" max="5" width="20.75" customWidth="1"/>
  </cols>
  <sheetData>
    <row r="1" spans="1:5" x14ac:dyDescent="0.25">
      <c r="A1" t="s">
        <v>135</v>
      </c>
      <c r="B1" t="s">
        <v>136</v>
      </c>
      <c r="C1" t="s">
        <v>132</v>
      </c>
      <c r="D1" t="s">
        <v>133</v>
      </c>
      <c r="E1" t="s">
        <v>134</v>
      </c>
    </row>
    <row r="2" spans="1:5" x14ac:dyDescent="0.25">
      <c r="A2" t="s">
        <v>8</v>
      </c>
      <c r="B2" t="s">
        <v>50</v>
      </c>
      <c r="C2" t="s">
        <v>51</v>
      </c>
      <c r="D2">
        <f>AVERAGEIF(Standings!$B:$B,A2,Standings!$H:$H)</f>
        <v>-1.6199999999999999</v>
      </c>
      <c r="E2">
        <f>AVERAGEIF(Standings!$B:$B,A2,Standings!$I:$I)</f>
        <v>-0.25499999999999995</v>
      </c>
    </row>
    <row r="3" spans="1:5" x14ac:dyDescent="0.25">
      <c r="A3" t="s">
        <v>20</v>
      </c>
      <c r="B3" t="s">
        <v>50</v>
      </c>
      <c r="C3" t="s">
        <v>51</v>
      </c>
      <c r="D3">
        <f>AVERAGEIF(Standings!$B:$B,A3,Standings!$H:$H)</f>
        <v>-1.7849999999999995</v>
      </c>
      <c r="E3">
        <f>AVERAGEIF(Standings!$B:$B,A3,Standings!$I:$I)</f>
        <v>0.50499999999999989</v>
      </c>
    </row>
    <row r="4" spans="1:5" x14ac:dyDescent="0.25">
      <c r="A4" t="s">
        <v>22</v>
      </c>
      <c r="B4" t="s">
        <v>50</v>
      </c>
      <c r="C4" t="s">
        <v>51</v>
      </c>
      <c r="D4">
        <f>AVERAGEIF(Standings!$B:$B,A4,Standings!$H:$H)</f>
        <v>5.4999999999999991</v>
      </c>
      <c r="E4">
        <f>AVERAGEIF(Standings!$B:$B,A4,Standings!$I:$I)</f>
        <v>2.9699999999999998</v>
      </c>
    </row>
    <row r="5" spans="1:5" x14ac:dyDescent="0.25">
      <c r="A5" t="s">
        <v>25</v>
      </c>
      <c r="B5" t="s">
        <v>50</v>
      </c>
      <c r="C5" t="s">
        <v>51</v>
      </c>
      <c r="D5">
        <f>AVERAGEIF(Standings!$B:$B,A5,Standings!$H:$H)</f>
        <v>-1.6800000000000002</v>
      </c>
      <c r="E5">
        <f>AVERAGEIF(Standings!$B:$B,A5,Standings!$I:$I)</f>
        <v>0.6</v>
      </c>
    </row>
    <row r="6" spans="1:5" x14ac:dyDescent="0.25">
      <c r="A6" t="s">
        <v>14</v>
      </c>
      <c r="B6" t="s">
        <v>50</v>
      </c>
      <c r="C6" t="s">
        <v>60</v>
      </c>
      <c r="D6">
        <f>AVERAGEIF(Standings!$B:$B,A6,Standings!$H:$H)</f>
        <v>1.4949999999999999</v>
      </c>
      <c r="E6">
        <f>AVERAGEIF(Standings!$B:$B,A6,Standings!$I:$I)</f>
        <v>0.55000000000000004</v>
      </c>
    </row>
    <row r="7" spans="1:5" x14ac:dyDescent="0.25">
      <c r="A7" t="s">
        <v>19</v>
      </c>
      <c r="B7" t="s">
        <v>50</v>
      </c>
      <c r="C7" t="s">
        <v>60</v>
      </c>
      <c r="D7">
        <f>AVERAGEIF(Standings!$B:$B,A7,Standings!$H:$H)</f>
        <v>1.3199999999999998</v>
      </c>
      <c r="E7">
        <f>AVERAGEIF(Standings!$B:$B,A7,Standings!$I:$I)</f>
        <v>0.12999999999999987</v>
      </c>
    </row>
    <row r="8" spans="1:5" x14ac:dyDescent="0.25">
      <c r="A8" t="s">
        <v>27</v>
      </c>
      <c r="B8" t="s">
        <v>50</v>
      </c>
      <c r="C8" t="s">
        <v>60</v>
      </c>
      <c r="D8">
        <f>AVERAGEIF(Standings!$B:$B,A8,Standings!$H:$H)</f>
        <v>-1.6350000000000002</v>
      </c>
      <c r="E8">
        <f>AVERAGEIF(Standings!$B:$B,A8,Standings!$I:$I)</f>
        <v>-1.9949999999999999</v>
      </c>
    </row>
    <row r="9" spans="1:5" x14ac:dyDescent="0.25">
      <c r="A9" t="s">
        <v>31</v>
      </c>
      <c r="B9" t="s">
        <v>50</v>
      </c>
      <c r="C9" t="s">
        <v>60</v>
      </c>
      <c r="D9">
        <f>AVERAGEIF(Standings!$B:$B,A9,Standings!$H:$H)</f>
        <v>2.08</v>
      </c>
      <c r="E9">
        <f>AVERAGEIF(Standings!$B:$B,A9,Standings!$I:$I)</f>
        <v>0.27999999999999992</v>
      </c>
    </row>
    <row r="10" spans="1:5" x14ac:dyDescent="0.25">
      <c r="A10" t="s">
        <v>7</v>
      </c>
      <c r="B10" t="s">
        <v>50</v>
      </c>
      <c r="C10" t="s">
        <v>69</v>
      </c>
      <c r="D10">
        <f>AVERAGEIF(Standings!$B:$B,A10,Standings!$H:$H)</f>
        <v>0.72</v>
      </c>
      <c r="E10">
        <f>AVERAGEIF(Standings!$B:$B,A10,Standings!$I:$I)</f>
        <v>3.3649999999999998</v>
      </c>
    </row>
    <row r="11" spans="1:5" x14ac:dyDescent="0.25">
      <c r="A11" t="s">
        <v>11</v>
      </c>
      <c r="B11" t="s">
        <v>50</v>
      </c>
      <c r="C11" t="s">
        <v>69</v>
      </c>
      <c r="D11">
        <f>AVERAGEIF(Standings!$B:$B,A11,Standings!$H:$H)</f>
        <v>-0.4599999999999998</v>
      </c>
      <c r="E11">
        <f>AVERAGEIF(Standings!$B:$B,A11,Standings!$I:$I)</f>
        <v>-0.64</v>
      </c>
    </row>
    <row r="12" spans="1:5" x14ac:dyDescent="0.25">
      <c r="A12" t="s">
        <v>12</v>
      </c>
      <c r="B12" t="s">
        <v>50</v>
      </c>
      <c r="C12" t="s">
        <v>69</v>
      </c>
      <c r="D12">
        <f>AVERAGEIF(Standings!$B:$B,A12,Standings!$H:$H)</f>
        <v>-3.9050000000000002</v>
      </c>
      <c r="E12">
        <f>AVERAGEIF(Standings!$B:$B,A12,Standings!$I:$I)</f>
        <v>-0.98000000000000009</v>
      </c>
    </row>
    <row r="13" spans="1:5" x14ac:dyDescent="0.25">
      <c r="A13" t="s">
        <v>29</v>
      </c>
      <c r="B13" t="s">
        <v>50</v>
      </c>
      <c r="C13" t="s">
        <v>69</v>
      </c>
      <c r="D13">
        <f>AVERAGEIF(Standings!$B:$B,A13,Standings!$H:$H)</f>
        <v>1.4750000000000001</v>
      </c>
      <c r="E13">
        <f>AVERAGEIF(Standings!$B:$B,A13,Standings!$I:$I)</f>
        <v>2.9850000000000003</v>
      </c>
    </row>
    <row r="14" spans="1:5" x14ac:dyDescent="0.25">
      <c r="A14" t="s">
        <v>39</v>
      </c>
      <c r="B14" t="s">
        <v>50</v>
      </c>
      <c r="C14" t="s">
        <v>78</v>
      </c>
      <c r="D14">
        <f>AVERAGEIF(Standings!$B:$B,A14,Standings!$H:$H)</f>
        <v>-1.2000000000000002</v>
      </c>
      <c r="E14">
        <f>AVERAGEIF(Standings!$B:$B,A14,Standings!$I:$I)</f>
        <v>-0.69444444444444453</v>
      </c>
    </row>
    <row r="15" spans="1:5" x14ac:dyDescent="0.25">
      <c r="A15" t="s">
        <v>17</v>
      </c>
      <c r="B15" t="s">
        <v>50</v>
      </c>
      <c r="C15" t="s">
        <v>78</v>
      </c>
      <c r="D15">
        <f>AVERAGEIF(Standings!$B:$B,A15,Standings!$H:$H)</f>
        <v>2.9550000000000005</v>
      </c>
      <c r="E15">
        <f>AVERAGEIF(Standings!$B:$B,A15,Standings!$I:$I)</f>
        <v>-0.70500000000000007</v>
      </c>
    </row>
    <row r="16" spans="1:5" x14ac:dyDescent="0.25">
      <c r="A16" t="s">
        <v>18</v>
      </c>
      <c r="B16" t="s">
        <v>50</v>
      </c>
      <c r="C16" t="s">
        <v>78</v>
      </c>
      <c r="D16">
        <f>AVERAGEIF(Standings!$B:$B,A16,Standings!$H:$H)</f>
        <v>-2.5000000000000004</v>
      </c>
      <c r="E16">
        <f>AVERAGEIF(Standings!$B:$B,A16,Standings!$I:$I)</f>
        <v>-6.4999999999999974E-2</v>
      </c>
    </row>
    <row r="17" spans="1:5" x14ac:dyDescent="0.25">
      <c r="A17" t="s">
        <v>37</v>
      </c>
      <c r="B17" t="s">
        <v>50</v>
      </c>
      <c r="C17" t="s">
        <v>78</v>
      </c>
      <c r="D17">
        <f>AVERAGEIF(Standings!$B:$B,A17,Standings!$H:$H)</f>
        <v>-0.51000000000000012</v>
      </c>
      <c r="E17">
        <f>AVERAGEIF(Standings!$B:$B,A17,Standings!$I:$I)</f>
        <v>-0.76500000000000024</v>
      </c>
    </row>
    <row r="18" spans="1:5" x14ac:dyDescent="0.25">
      <c r="A18" t="s">
        <v>13</v>
      </c>
      <c r="B18" t="s">
        <v>87</v>
      </c>
      <c r="C18" t="s">
        <v>51</v>
      </c>
      <c r="D18">
        <f>AVERAGEIF(Standings!$B:$B,A18,Standings!$H:$H)</f>
        <v>0.31999999999999995</v>
      </c>
      <c r="E18">
        <f>AVERAGEIF(Standings!$B:$B,A18,Standings!$I:$I)</f>
        <v>0.12499999999999993</v>
      </c>
    </row>
    <row r="19" spans="1:5" x14ac:dyDescent="0.25">
      <c r="A19" t="s">
        <v>24</v>
      </c>
      <c r="B19" t="s">
        <v>87</v>
      </c>
      <c r="C19" t="s">
        <v>51</v>
      </c>
      <c r="D19">
        <f>AVERAGEIF(Standings!$B:$B,A19,Standings!$H:$H)</f>
        <v>0.13999999999999971</v>
      </c>
      <c r="E19">
        <f>AVERAGEIF(Standings!$B:$B,A19,Standings!$I:$I)</f>
        <v>-0.53499999999999981</v>
      </c>
    </row>
    <row r="20" spans="1:5" x14ac:dyDescent="0.25">
      <c r="A20" t="s">
        <v>28</v>
      </c>
      <c r="B20" t="s">
        <v>87</v>
      </c>
      <c r="C20" t="s">
        <v>51</v>
      </c>
      <c r="D20">
        <f>AVERAGEIF(Standings!$B:$B,A20,Standings!$H:$H)</f>
        <v>2.2450000000000001</v>
      </c>
      <c r="E20">
        <f>AVERAGEIF(Standings!$B:$B,A20,Standings!$I:$I)</f>
        <v>1.04</v>
      </c>
    </row>
    <row r="21" spans="1:5" x14ac:dyDescent="0.25">
      <c r="A21" t="s">
        <v>38</v>
      </c>
      <c r="B21" t="s">
        <v>87</v>
      </c>
      <c r="C21" t="s">
        <v>51</v>
      </c>
      <c r="D21">
        <f>AVERAGEIF(Standings!$B:$B,A21,Standings!$H:$H)</f>
        <v>-2.415</v>
      </c>
      <c r="E21">
        <f>AVERAGEIF(Standings!$B:$B,A21,Standings!$I:$I)</f>
        <v>-0.37000000000000005</v>
      </c>
    </row>
    <row r="22" spans="1:5" x14ac:dyDescent="0.25">
      <c r="A22" t="s">
        <v>5</v>
      </c>
      <c r="B22" t="s">
        <v>87</v>
      </c>
      <c r="C22" t="s">
        <v>60</v>
      </c>
      <c r="D22">
        <f>AVERAGEIF(Standings!$B:$B,A22,Standings!$H:$H)</f>
        <v>-1.9149999999999998</v>
      </c>
      <c r="E22">
        <f>AVERAGEIF(Standings!$B:$B,A22,Standings!$I:$I)</f>
        <v>-2.0349999999999997</v>
      </c>
    </row>
    <row r="23" spans="1:5" x14ac:dyDescent="0.25">
      <c r="A23" t="s">
        <v>35</v>
      </c>
      <c r="B23" t="s">
        <v>87</v>
      </c>
      <c r="C23" t="s">
        <v>60</v>
      </c>
      <c r="D23">
        <f>AVERAGEIF(Standings!$B:$B,A23,Standings!$H:$H)</f>
        <v>-0.49999999999999967</v>
      </c>
      <c r="E23">
        <f>AVERAGEIF(Standings!$B:$B,A23,Standings!$I:$I)</f>
        <v>-1.8550000000000004</v>
      </c>
    </row>
    <row r="24" spans="1:5" x14ac:dyDescent="0.25">
      <c r="A24" t="s">
        <v>32</v>
      </c>
      <c r="B24" t="s">
        <v>87</v>
      </c>
      <c r="C24" t="s">
        <v>60</v>
      </c>
      <c r="D24">
        <f>AVERAGEIF(Standings!$B:$B,A24,Standings!$H:$H)</f>
        <v>-1.2799999999999991</v>
      </c>
      <c r="E24">
        <f>AVERAGEIF(Standings!$B:$B,A24,Standings!$I:$I)</f>
        <v>-0.52500000000000013</v>
      </c>
    </row>
    <row r="25" spans="1:5" x14ac:dyDescent="0.25">
      <c r="A25" t="s">
        <v>33</v>
      </c>
      <c r="B25" t="s">
        <v>87</v>
      </c>
      <c r="C25" t="s">
        <v>60</v>
      </c>
      <c r="D25">
        <f>AVERAGEIF(Standings!$B:$B,A25,Standings!$H:$H)</f>
        <v>0.62</v>
      </c>
      <c r="E25">
        <f>AVERAGEIF(Standings!$B:$B,A25,Standings!$I:$I)</f>
        <v>1.05</v>
      </c>
    </row>
    <row r="26" spans="1:5" x14ac:dyDescent="0.25">
      <c r="A26" t="s">
        <v>10</v>
      </c>
      <c r="B26" t="s">
        <v>87</v>
      </c>
      <c r="C26" t="s">
        <v>69</v>
      </c>
      <c r="D26">
        <f>AVERAGEIF(Standings!$B:$B,A26,Standings!$H:$H)</f>
        <v>-1.8900000000000001</v>
      </c>
      <c r="E26">
        <f>AVERAGEIF(Standings!$B:$B,A26,Standings!$I:$I)</f>
        <v>1.42</v>
      </c>
    </row>
    <row r="27" spans="1:5" x14ac:dyDescent="0.25">
      <c r="A27" t="s">
        <v>15</v>
      </c>
      <c r="B27" t="s">
        <v>87</v>
      </c>
      <c r="C27" t="s">
        <v>69</v>
      </c>
      <c r="D27">
        <f>AVERAGEIF(Standings!$B:$B,A27,Standings!$H:$H)</f>
        <v>-0.96000000000000019</v>
      </c>
      <c r="E27">
        <f>AVERAGEIF(Standings!$B:$B,A27,Standings!$I:$I)</f>
        <v>-2.6149999999999998</v>
      </c>
    </row>
    <row r="28" spans="1:5" x14ac:dyDescent="0.25">
      <c r="A28" t="s">
        <v>16</v>
      </c>
      <c r="B28" t="s">
        <v>87</v>
      </c>
      <c r="C28" t="s">
        <v>69</v>
      </c>
      <c r="D28">
        <f>AVERAGEIF(Standings!$B:$B,A28,Standings!$H:$H)</f>
        <v>3.3049999999999997</v>
      </c>
      <c r="E28">
        <f>AVERAGEIF(Standings!$B:$B,A28,Standings!$I:$I)</f>
        <v>0.39499999999999991</v>
      </c>
    </row>
    <row r="29" spans="1:5" x14ac:dyDescent="0.25">
      <c r="A29" t="s">
        <v>21</v>
      </c>
      <c r="B29" t="s">
        <v>87</v>
      </c>
      <c r="C29" t="s">
        <v>69</v>
      </c>
      <c r="D29">
        <f>AVERAGEIF(Standings!$B:$B,A29,Standings!$H:$H)</f>
        <v>0.69000000000000006</v>
      </c>
      <c r="E29">
        <f>AVERAGEIF(Standings!$B:$B,A29,Standings!$I:$I)</f>
        <v>-6.4999999999999836E-2</v>
      </c>
    </row>
    <row r="30" spans="1:5" x14ac:dyDescent="0.25">
      <c r="A30" t="s">
        <v>6</v>
      </c>
      <c r="B30" t="s">
        <v>87</v>
      </c>
      <c r="C30" t="s">
        <v>78</v>
      </c>
      <c r="D30">
        <f>AVERAGEIF(Standings!$B:$B,A30,Standings!$H:$H)</f>
        <v>0.37999999999999978</v>
      </c>
      <c r="E30">
        <f>AVERAGEIF(Standings!$B:$B,A30,Standings!$I:$I)</f>
        <v>-0.65500000000000003</v>
      </c>
    </row>
    <row r="31" spans="1:5" x14ac:dyDescent="0.25">
      <c r="A31" t="s">
        <v>9</v>
      </c>
      <c r="B31" t="s">
        <v>87</v>
      </c>
      <c r="C31" t="s">
        <v>78</v>
      </c>
      <c r="D31">
        <f>AVERAGEIF(Standings!$B:$B,A31,Standings!$H:$H)</f>
        <v>-1.2149999999999999</v>
      </c>
      <c r="E31">
        <f>AVERAGEIF(Standings!$B:$B,A31,Standings!$I:$I)</f>
        <v>0.67000000000000015</v>
      </c>
    </row>
    <row r="32" spans="1:5" x14ac:dyDescent="0.25">
      <c r="A32" t="s">
        <v>23</v>
      </c>
      <c r="B32" t="s">
        <v>87</v>
      </c>
      <c r="C32" t="s">
        <v>78</v>
      </c>
      <c r="D32">
        <f>AVERAGEIF(Standings!$B:$B,A32,Standings!$H:$H)</f>
        <v>3.7050000000000005</v>
      </c>
      <c r="E32">
        <f>AVERAGEIF(Standings!$B:$B,A32,Standings!$I:$I)</f>
        <v>-1.6849999999999994</v>
      </c>
    </row>
    <row r="33" spans="1:5" x14ac:dyDescent="0.25">
      <c r="A33" t="s">
        <v>36</v>
      </c>
      <c r="B33" t="s">
        <v>87</v>
      </c>
      <c r="C33" t="s">
        <v>78</v>
      </c>
      <c r="D33">
        <f>AVERAGEIF(Standings!$B:$B,A33,Standings!$H:$H)</f>
        <v>-1.6050000000000004</v>
      </c>
      <c r="E33">
        <f>AVERAGEIF(Standings!$B:$B,A33,Standings!$I:$I)</f>
        <v>0.25000000000000011</v>
      </c>
    </row>
    <row r="37" spans="1:5" x14ac:dyDescent="0.25">
      <c r="A37" t="s">
        <v>132</v>
      </c>
      <c r="B37" t="s">
        <v>136</v>
      </c>
      <c r="C37" t="s">
        <v>137</v>
      </c>
      <c r="D37" t="s">
        <v>138</v>
      </c>
    </row>
    <row r="38" spans="1:5" x14ac:dyDescent="0.25">
      <c r="A38" t="s">
        <v>139</v>
      </c>
      <c r="B38" t="s">
        <v>50</v>
      </c>
      <c r="C38">
        <f>AVERAGEIFS($D$2:$D$33,$B2:$B$33,"AFC",$C$2:$C$33,"East")</f>
        <v>0.1037499999999999</v>
      </c>
      <c r="D38">
        <f>AVERAGEIFS($E$2:$E$33,$B2:$B$33,"AFC",$C$2:$C$33,"East")</f>
        <v>0.95499999999999996</v>
      </c>
    </row>
    <row r="39" spans="1:5" x14ac:dyDescent="0.25">
      <c r="A39" t="s">
        <v>140</v>
      </c>
      <c r="B39" t="s">
        <v>50</v>
      </c>
      <c r="C39">
        <f>AVERAGEIFS($D$2:$D$33,$B2:$B$33,"AFC",$C$2:$C$33,"North")</f>
        <v>-0.54249999999999998</v>
      </c>
      <c r="D39">
        <f>AVERAGEIFS($E$2:$E$33,$B2:$B$33,"AFC",$C$2:$C$33,"North")</f>
        <v>1.1825000000000001</v>
      </c>
    </row>
    <row r="40" spans="1:5" x14ac:dyDescent="0.25">
      <c r="A40" t="s">
        <v>141</v>
      </c>
      <c r="B40" t="s">
        <v>50</v>
      </c>
      <c r="C40">
        <f>AVERAGEIFS($D$2:$D$33,$B2:$B$33,"AFC",$C$2:$C$33,"South")</f>
        <v>-0.31375000000000008</v>
      </c>
      <c r="D40">
        <f>AVERAGEIFS($E$2:$E$33,$B2:$B$33,"AFC",$C$2:$C$33,"South")</f>
        <v>-0.5573611111111112</v>
      </c>
    </row>
    <row r="41" spans="1:5" x14ac:dyDescent="0.25">
      <c r="A41" t="s">
        <v>142</v>
      </c>
      <c r="B41" t="s">
        <v>50</v>
      </c>
      <c r="C41">
        <f>AVERAGEIFS($D$2:$D$33,$B2:$B$33,"AFC",$C$2:$C$33,"West")</f>
        <v>0.81499999999999984</v>
      </c>
      <c r="D41">
        <f>AVERAGEIFS($E$2:$E$33,$B2:$B$33,"AFC",$C$2:$C$33,"West")</f>
        <v>-0.25875000000000004</v>
      </c>
    </row>
    <row r="42" spans="1:5" x14ac:dyDescent="0.25">
      <c r="A42" t="s">
        <v>143</v>
      </c>
      <c r="B42" t="s">
        <v>87</v>
      </c>
      <c r="C42">
        <f>AVERAGEIFS($D$2:$D$33,$B2:$B$33,"NFC",$C$2:$C$33,"East")</f>
        <v>7.2499999999999898E-2</v>
      </c>
      <c r="D42">
        <f>AVERAGEIFS($E$2:$E$33,$B2:$B$33,"NFC",$C$2:$C$33,"East")</f>
        <v>6.5000000000000016E-2</v>
      </c>
    </row>
    <row r="43" spans="1:5" x14ac:dyDescent="0.25">
      <c r="A43" t="s">
        <v>144</v>
      </c>
      <c r="B43" t="s">
        <v>87</v>
      </c>
      <c r="C43">
        <f>AVERAGEIFS($D$2:$D$33,$B2:$B$33,"NFC",$C$2:$C$33,"North")</f>
        <v>0.28624999999999978</v>
      </c>
      <c r="D43">
        <f>AVERAGEIFS($E$2:$E$33,$B2:$B$33,"NFC",$C$2:$C$33,"North")</f>
        <v>-0.21624999999999994</v>
      </c>
    </row>
    <row r="44" spans="1:5" x14ac:dyDescent="0.25">
      <c r="A44" t="s">
        <v>145</v>
      </c>
      <c r="B44" t="s">
        <v>87</v>
      </c>
      <c r="C44">
        <f>AVERAGEIFS($D$2:$D$33,$B2:$B$33,"NFC",$C$2:$C$33,"South")</f>
        <v>0.31625000000000003</v>
      </c>
      <c r="D44">
        <f>AVERAGEIFS($E$2:$E$33,$B2:$B$33,"NFC",$C$2:$C$33,"South")</f>
        <v>-0.35499999999999976</v>
      </c>
    </row>
    <row r="45" spans="1:5" x14ac:dyDescent="0.25">
      <c r="A45" t="s">
        <v>146</v>
      </c>
      <c r="B45" t="s">
        <v>87</v>
      </c>
      <c r="C45">
        <f>AVERAGEIFS($D$2:$D$33,$B2:$B$33,"NFC",$C$2:$C$33,"West")</f>
        <v>-0.7687499999999996</v>
      </c>
      <c r="D45">
        <f>AVERAGEIFS($E$2:$E$33,$B2:$B$33,"NFC",$C$2:$C$33,"West")</f>
        <v>-0.84125000000000005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980B-2FFB-4F73-80C1-7804DFC9B606}">
  <dimension ref="A1:C34"/>
  <sheetViews>
    <sheetView tabSelected="1" workbookViewId="0">
      <selection activeCell="C33" sqref="A1:C33"/>
    </sheetView>
  </sheetViews>
  <sheetFormatPr defaultRowHeight="15" x14ac:dyDescent="0.25"/>
  <cols>
    <col min="2" max="2" width="25.875" customWidth="1"/>
    <col min="3" max="3" width="11.875" customWidth="1"/>
  </cols>
  <sheetData>
    <row r="1" spans="1:3" x14ac:dyDescent="0.25">
      <c r="A1" t="s">
        <v>135</v>
      </c>
      <c r="B1" t="s">
        <v>147</v>
      </c>
      <c r="C1" t="s">
        <v>148</v>
      </c>
    </row>
    <row r="2" spans="1:3" x14ac:dyDescent="0.25">
      <c r="A2" t="s">
        <v>8</v>
      </c>
      <c r="B2" s="3">
        <f>AVERAGEIF(Census!$B:$B,A2,Census!$C:$C)</f>
        <v>61973.5</v>
      </c>
      <c r="C2">
        <f>SUMIF(Standings!$B:$B,A2,Standings!$C:$C)</f>
        <v>137</v>
      </c>
    </row>
    <row r="3" spans="1:3" x14ac:dyDescent="0.25">
      <c r="A3" t="s">
        <v>20</v>
      </c>
      <c r="B3" s="3">
        <f>AVERAGEIF(Census!$B:$B,A3,Census!$C:$C)</f>
        <v>37569</v>
      </c>
      <c r="C3">
        <f>SUMIF(Standings!$B:$B,A3,Standings!$C:$C)</f>
        <v>149</v>
      </c>
    </row>
    <row r="4" spans="1:3" x14ac:dyDescent="0.25">
      <c r="A4" t="s">
        <v>22</v>
      </c>
      <c r="B4" s="3">
        <f>AVERAGEIF(Census!$B:$B,A4,Census!$C:$C)</f>
        <v>65665</v>
      </c>
      <c r="C4">
        <f>SUMIF(Standings!$B:$B,A4,Standings!$C:$C)</f>
        <v>237</v>
      </c>
    </row>
    <row r="5" spans="1:3" x14ac:dyDescent="0.25">
      <c r="A5" t="s">
        <v>25</v>
      </c>
      <c r="B5" s="3">
        <f>AVERAGEIF(Census!$B:$B,A5,Census!$C:$C)</f>
        <v>57782</v>
      </c>
      <c r="C5">
        <f>SUMIF(Standings!$B:$B,A5,Standings!$C:$C)</f>
        <v>148</v>
      </c>
    </row>
    <row r="6" spans="1:3" x14ac:dyDescent="0.25">
      <c r="A6" t="s">
        <v>14</v>
      </c>
      <c r="B6" s="3">
        <f>AVERAGEIF(Census!$B:$B,A6,Census!$C:$C)</f>
        <v>60098</v>
      </c>
      <c r="C6">
        <f>SUMIF(Standings!$B:$B,A6,Standings!$C:$C)</f>
        <v>182</v>
      </c>
    </row>
    <row r="7" spans="1:3" x14ac:dyDescent="0.25">
      <c r="A7" t="s">
        <v>19</v>
      </c>
      <c r="B7" s="3">
        <f>AVERAGEIF(Census!$B:$B,A7,Census!$C:$C)</f>
        <v>50136</v>
      </c>
      <c r="C7">
        <f>SUMIF(Standings!$B:$B,A7,Standings!$C:$C)</f>
        <v>166</v>
      </c>
    </row>
    <row r="8" spans="1:3" x14ac:dyDescent="0.25">
      <c r="A8" t="s">
        <v>27</v>
      </c>
      <c r="B8" s="3">
        <f>AVERAGEIF(Census!$B:$B,A8,Census!$C:$C)</f>
        <v>54104.666666666664</v>
      </c>
      <c r="C8">
        <f>SUMIF(Standings!$B:$B,A8,Standings!$C:$C)</f>
        <v>125</v>
      </c>
    </row>
    <row r="9" spans="1:3" x14ac:dyDescent="0.25">
      <c r="A9" t="s">
        <v>31</v>
      </c>
      <c r="B9" s="3">
        <f>AVERAGEIF(Census!$B:$B,A9,Census!$C:$C)</f>
        <v>54501</v>
      </c>
      <c r="C9">
        <f>SUMIF(Standings!$B:$B,A9,Standings!$C:$C)</f>
        <v>162</v>
      </c>
    </row>
    <row r="10" spans="1:3" x14ac:dyDescent="0.25">
      <c r="A10" t="s">
        <v>7</v>
      </c>
      <c r="B10" s="3">
        <f>AVERAGEIF(Census!$B:$B,A10,Census!$C:$C)</f>
        <v>46641</v>
      </c>
      <c r="C10">
        <f>SUMIF(Standings!$B:$B,A10,Standings!$C:$C)</f>
        <v>190</v>
      </c>
    </row>
    <row r="11" spans="1:3" x14ac:dyDescent="0.25">
      <c r="A11" t="s">
        <v>11</v>
      </c>
      <c r="B11" s="3">
        <f>AVERAGEIF(Census!$B:$B,A11,Census!$C:$C)</f>
        <v>36429</v>
      </c>
      <c r="C11">
        <f>SUMIF(Standings!$B:$B,A11,Standings!$C:$C)</f>
        <v>145</v>
      </c>
    </row>
    <row r="12" spans="1:3" x14ac:dyDescent="0.25">
      <c r="A12" t="s">
        <v>12</v>
      </c>
      <c r="B12" s="3">
        <f>AVERAGEIF(Census!$B:$B,A12,Census!$C:$C)</f>
        <v>27854</v>
      </c>
      <c r="C12">
        <f>SUMIF(Standings!$B:$B,A12,Standings!$C:$C)</f>
        <v>99</v>
      </c>
    </row>
    <row r="13" spans="1:3" x14ac:dyDescent="0.25">
      <c r="A13" t="s">
        <v>29</v>
      </c>
      <c r="B13" s="3">
        <f>AVERAGEIF(Census!$B:$B,A13,Census!$C:$C)</f>
        <v>44092</v>
      </c>
      <c r="C13">
        <f>SUMIF(Standings!$B:$B,A13,Standings!$C:$C)</f>
        <v>205</v>
      </c>
    </row>
    <row r="14" spans="1:3" x14ac:dyDescent="0.25">
      <c r="A14" t="s">
        <v>39</v>
      </c>
      <c r="B14" s="3">
        <f>AVERAGEIF(Census!$B:$B,A14,Census!$C:$C)</f>
        <v>49399</v>
      </c>
      <c r="C14">
        <f>SUMIF(Standings!$B:$B,A14,Standings!$C:$C)</f>
        <v>131</v>
      </c>
    </row>
    <row r="15" spans="1:3" x14ac:dyDescent="0.25">
      <c r="A15" t="s">
        <v>17</v>
      </c>
      <c r="B15" s="3">
        <f>AVERAGEIF(Census!$B:$B,A15,Census!$C:$C)</f>
        <v>44709</v>
      </c>
      <c r="C15">
        <f>SUMIF(Standings!$B:$B,A15,Standings!$C:$C)</f>
        <v>197</v>
      </c>
    </row>
    <row r="16" spans="1:3" x14ac:dyDescent="0.25">
      <c r="A16" t="s">
        <v>18</v>
      </c>
      <c r="B16" s="3">
        <f>AVERAGEIF(Census!$B:$B,A16,Census!$C:$C)</f>
        <v>50555</v>
      </c>
      <c r="C16">
        <f>SUMIF(Standings!$B:$B,A16,Standings!$C:$C)</f>
        <v>127</v>
      </c>
    </row>
    <row r="17" spans="1:3" x14ac:dyDescent="0.25">
      <c r="A17" t="s">
        <v>37</v>
      </c>
      <c r="B17" s="3">
        <f>AVERAGEIF(Census!$B:$B,A17,Census!$C:$C)</f>
        <v>52858</v>
      </c>
      <c r="C17">
        <f>SUMIF(Standings!$B:$B,A17,Standings!$C:$C)</f>
        <v>160</v>
      </c>
    </row>
    <row r="18" spans="1:3" x14ac:dyDescent="0.25">
      <c r="A18" t="s">
        <v>13</v>
      </c>
      <c r="B18" s="3">
        <f>AVERAGEIF(Census!$B:$B,A18,Census!$C:$C)</f>
        <v>55562</v>
      </c>
      <c r="C18">
        <f>SUMIF(Standings!$B:$B,A18,Standings!$C:$C)</f>
        <v>168</v>
      </c>
    </row>
    <row r="19" spans="1:3" x14ac:dyDescent="0.25">
      <c r="A19" t="s">
        <v>24</v>
      </c>
      <c r="B19" s="3">
        <f>AVERAGEIF(Census!$B:$B,A19,Census!$C:$C)</f>
        <v>77400</v>
      </c>
      <c r="C19">
        <f>SUMIF(Standings!$B:$B,A19,Standings!$C:$C)</f>
        <v>158</v>
      </c>
    </row>
    <row r="20" spans="1:3" x14ac:dyDescent="0.25">
      <c r="A20" t="s">
        <v>28</v>
      </c>
      <c r="B20" s="3">
        <f>AVERAGEIF(Census!$B:$B,A20,Census!$C:$C)</f>
        <v>40649</v>
      </c>
      <c r="C20">
        <f>SUMIF(Standings!$B:$B,A20,Standings!$C:$C)</f>
        <v>190</v>
      </c>
    </row>
    <row r="21" spans="1:3" x14ac:dyDescent="0.25">
      <c r="A21" t="s">
        <v>38</v>
      </c>
      <c r="B21" s="3">
        <f>AVERAGEIF(Census!$B:$B,A21,Census!$C:$C)</f>
        <v>65671.5</v>
      </c>
      <c r="C21">
        <f>SUMIF(Standings!$B:$B,A21,Standings!$C:$C)</f>
        <v>132</v>
      </c>
    </row>
    <row r="22" spans="1:3" x14ac:dyDescent="0.25">
      <c r="A22" t="s">
        <v>5</v>
      </c>
      <c r="B22" s="3">
        <f>AVERAGEIF(Census!$B:$B,A22,Census!$C:$C)</f>
        <v>49383</v>
      </c>
      <c r="C22">
        <f>SUMIF(Standings!$B:$B,A22,Standings!$C:$C)</f>
        <v>137</v>
      </c>
    </row>
    <row r="23" spans="1:3" x14ac:dyDescent="0.25">
      <c r="A23" t="s">
        <v>35</v>
      </c>
      <c r="B23" s="3">
        <f>AVERAGEIF(Census!$B:$B,A23,Census!$C:$C)</f>
        <v>46389</v>
      </c>
      <c r="C23">
        <f>SUMIF(Standings!$B:$B,A23,Standings!$C:$C)</f>
        <v>144</v>
      </c>
    </row>
    <row r="24" spans="1:3" x14ac:dyDescent="0.25">
      <c r="A24" t="s">
        <v>32</v>
      </c>
      <c r="B24" s="3">
        <f>AVERAGEIF(Census!$B:$B,A24,Census!$C:$C)</f>
        <v>102437</v>
      </c>
      <c r="C24">
        <f>SUMIF(Standings!$B:$B,A24,Standings!$C:$C)</f>
        <v>148</v>
      </c>
    </row>
    <row r="25" spans="1:3" x14ac:dyDescent="0.25">
      <c r="A25" t="s">
        <v>33</v>
      </c>
      <c r="B25" s="3">
        <f>AVERAGEIF(Census!$B:$B,A25,Census!$C:$C)</f>
        <v>79565</v>
      </c>
      <c r="C25">
        <f>SUMIF(Standings!$B:$B,A25,Standings!$C:$C)</f>
        <v>182</v>
      </c>
    </row>
    <row r="26" spans="1:3" x14ac:dyDescent="0.25">
      <c r="A26" t="s">
        <v>10</v>
      </c>
      <c r="B26" s="3">
        <f>AVERAGEIF(Census!$B:$B,A26,Census!$C:$C)</f>
        <v>52497</v>
      </c>
      <c r="C26">
        <f>SUMIF(Standings!$B:$B,A26,Standings!$C:$C)</f>
        <v>157</v>
      </c>
    </row>
    <row r="27" spans="1:3" x14ac:dyDescent="0.25">
      <c r="A27" t="s">
        <v>15</v>
      </c>
      <c r="B27" s="3">
        <f>AVERAGEIF(Census!$B:$B,A27,Census!$C:$C)</f>
        <v>27838</v>
      </c>
      <c r="C27">
        <f>SUMIF(Standings!$B:$B,A27,Standings!$C:$C)</f>
        <v>114</v>
      </c>
    </row>
    <row r="28" spans="1:3" x14ac:dyDescent="0.25">
      <c r="A28" t="s">
        <v>16</v>
      </c>
      <c r="B28" s="3">
        <f>AVERAGEIF(Census!$B:$B,A28,Census!$C:$C)</f>
        <v>45473</v>
      </c>
      <c r="C28">
        <f>SUMIF(Standings!$B:$B,A28,Standings!$C:$C)</f>
        <v>197</v>
      </c>
    </row>
    <row r="29" spans="1:3" x14ac:dyDescent="0.25">
      <c r="A29" t="s">
        <v>21</v>
      </c>
      <c r="B29" s="3">
        <f>AVERAGEIF(Census!$B:$B,A29,Census!$C:$C)</f>
        <v>55720</v>
      </c>
      <c r="C29">
        <f>SUMIF(Standings!$B:$B,A29,Standings!$C:$C)</f>
        <v>165</v>
      </c>
    </row>
    <row r="30" spans="1:3" x14ac:dyDescent="0.25">
      <c r="A30" t="s">
        <v>6</v>
      </c>
      <c r="B30" s="3">
        <f>AVERAGEIF(Census!$B:$B,A30,Census!$C:$C)</f>
        <v>51701</v>
      </c>
      <c r="C30">
        <f>SUMIF(Standings!$B:$B,A30,Standings!$C:$C)</f>
        <v>164</v>
      </c>
    </row>
    <row r="31" spans="1:3" x14ac:dyDescent="0.25">
      <c r="A31" t="s">
        <v>9</v>
      </c>
      <c r="B31" s="3">
        <f>AVERAGEIF(Census!$B:$B,A31,Census!$C:$C)</f>
        <v>58202</v>
      </c>
      <c r="C31">
        <f>SUMIF(Standings!$B:$B,A31,Standings!$C:$C)</f>
        <v>157</v>
      </c>
    </row>
    <row r="32" spans="1:3" x14ac:dyDescent="0.25">
      <c r="A32" t="s">
        <v>23</v>
      </c>
      <c r="B32" s="3">
        <f>AVERAGEIF(Census!$B:$B,A32,Census!$C:$C)</f>
        <v>38721</v>
      </c>
      <c r="C32">
        <f>SUMIF(Standings!$B:$B,A32,Standings!$C:$C)</f>
        <v>183</v>
      </c>
    </row>
    <row r="33" spans="1:3" x14ac:dyDescent="0.25">
      <c r="A33" t="s">
        <v>36</v>
      </c>
      <c r="B33" s="3">
        <f>AVERAGEIF(Census!$B:$B,A33,Census!$C:$C)</f>
        <v>48245</v>
      </c>
      <c r="C33">
        <f>SUMIF(Standings!$B:$B,A33,Standings!$C:$C)</f>
        <v>138</v>
      </c>
    </row>
    <row r="34" spans="1:3" x14ac:dyDescent="0.25">
      <c r="B34" s="3"/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F23C-80A2-4A03-88F6-543431AD85D1}">
  <dimension ref="A1:D34"/>
  <sheetViews>
    <sheetView zoomScaleNormal="100" workbookViewId="0">
      <selection activeCell="F10" sqref="F10"/>
    </sheetView>
  </sheetViews>
  <sheetFormatPr defaultRowHeight="15" x14ac:dyDescent="0.25"/>
  <cols>
    <col min="2" max="2" width="12.5" customWidth="1"/>
    <col min="3" max="3" width="11.875" customWidth="1"/>
    <col min="4" max="4" width="13.25" customWidth="1"/>
  </cols>
  <sheetData>
    <row r="1" spans="1:4" x14ac:dyDescent="0.25">
      <c r="A1" t="s">
        <v>135</v>
      </c>
      <c r="B1" t="s">
        <v>136</v>
      </c>
      <c r="C1" t="s">
        <v>148</v>
      </c>
      <c r="D1" t="s">
        <v>150</v>
      </c>
    </row>
    <row r="2" spans="1:4" x14ac:dyDescent="0.25">
      <c r="A2" s="11" t="s">
        <v>22</v>
      </c>
      <c r="B2" s="12" t="s">
        <v>50</v>
      </c>
      <c r="C2">
        <f>SUMIF(Standings!$B:$B,A2,Standings!$C:$C)</f>
        <v>237</v>
      </c>
      <c r="D2">
        <f>SUMIF(Standings!$B:$B,A2,Standings!$D:$D)</f>
        <v>83</v>
      </c>
    </row>
    <row r="3" spans="1:4" x14ac:dyDescent="0.25">
      <c r="A3" s="11" t="s">
        <v>29</v>
      </c>
      <c r="B3" s="12" t="s">
        <v>50</v>
      </c>
      <c r="C3">
        <f>SUMIF(Standings!$B:$B,A3,Standings!$C:$C)</f>
        <v>205</v>
      </c>
      <c r="D3">
        <f>SUMIF(Standings!$B:$B,A3,Standings!$D:$D)</f>
        <v>113</v>
      </c>
    </row>
    <row r="4" spans="1:4" x14ac:dyDescent="0.25">
      <c r="A4" s="11" t="s">
        <v>17</v>
      </c>
      <c r="B4" s="12" t="s">
        <v>50</v>
      </c>
      <c r="C4">
        <f>SUMIF(Standings!$B:$B,A4,Standings!$C:$C)</f>
        <v>197</v>
      </c>
      <c r="D4">
        <f>SUMIF(Standings!$B:$B,A4,Standings!$D:$D)</f>
        <v>123</v>
      </c>
    </row>
    <row r="5" spans="1:4" x14ac:dyDescent="0.25">
      <c r="A5" s="11" t="s">
        <v>7</v>
      </c>
      <c r="B5" s="12" t="s">
        <v>50</v>
      </c>
      <c r="C5">
        <f>SUMIF(Standings!$B:$B,A5,Standings!$C:$C)</f>
        <v>190</v>
      </c>
      <c r="D5">
        <f>SUMIF(Standings!$B:$B,A5,Standings!$D:$D)</f>
        <v>130</v>
      </c>
    </row>
    <row r="6" spans="1:4" x14ac:dyDescent="0.25">
      <c r="A6" s="11" t="s">
        <v>14</v>
      </c>
      <c r="B6" s="12" t="s">
        <v>50</v>
      </c>
      <c r="C6">
        <f>SUMIF(Standings!$B:$B,A6,Standings!$C:$C)</f>
        <v>182</v>
      </c>
      <c r="D6">
        <f>SUMIF(Standings!$B:$B,A6,Standings!$D:$D)</f>
        <v>138</v>
      </c>
    </row>
    <row r="7" spans="1:4" x14ac:dyDescent="0.25">
      <c r="A7" s="11" t="s">
        <v>19</v>
      </c>
      <c r="B7" s="12" t="s">
        <v>50</v>
      </c>
      <c r="C7">
        <f>SUMIF(Standings!$B:$B,A7,Standings!$C:$C)</f>
        <v>166</v>
      </c>
      <c r="D7">
        <f>SUMIF(Standings!$B:$B,A7,Standings!$D:$D)</f>
        <v>154</v>
      </c>
    </row>
    <row r="8" spans="1:4" x14ac:dyDescent="0.25">
      <c r="A8" s="11" t="s">
        <v>31</v>
      </c>
      <c r="B8" s="12" t="s">
        <v>50</v>
      </c>
      <c r="C8">
        <f>SUMIF(Standings!$B:$B,A8,Standings!$C:$C)</f>
        <v>162</v>
      </c>
      <c r="D8">
        <f>SUMIF(Standings!$B:$B,A8,Standings!$D:$D)</f>
        <v>158</v>
      </c>
    </row>
    <row r="9" spans="1:4" x14ac:dyDescent="0.25">
      <c r="A9" s="11" t="s">
        <v>37</v>
      </c>
      <c r="B9" s="12" t="s">
        <v>50</v>
      </c>
      <c r="C9">
        <f>SUMIF(Standings!$B:$B,A9,Standings!$C:$C)</f>
        <v>160</v>
      </c>
      <c r="D9">
        <f>SUMIF(Standings!$B:$B,A9,Standings!$D:$D)</f>
        <v>160</v>
      </c>
    </row>
    <row r="10" spans="1:4" x14ac:dyDescent="0.25">
      <c r="A10" s="11" t="s">
        <v>20</v>
      </c>
      <c r="B10" s="12" t="s">
        <v>50</v>
      </c>
      <c r="C10">
        <f>SUMIF(Standings!$B:$B,A10,Standings!$C:$C)</f>
        <v>149</v>
      </c>
      <c r="D10">
        <f>SUMIF(Standings!$B:$B,A10,Standings!$D:$D)</f>
        <v>171</v>
      </c>
    </row>
    <row r="11" spans="1:4" x14ac:dyDescent="0.25">
      <c r="A11" s="11" t="s">
        <v>25</v>
      </c>
      <c r="B11" s="12" t="s">
        <v>50</v>
      </c>
      <c r="C11">
        <f>SUMIF(Standings!$B:$B,A11,Standings!$C:$C)</f>
        <v>148</v>
      </c>
      <c r="D11">
        <f>SUMIF(Standings!$B:$B,A11,Standings!$D:$D)</f>
        <v>172</v>
      </c>
    </row>
    <row r="12" spans="1:4" x14ac:dyDescent="0.25">
      <c r="A12" s="11" t="s">
        <v>11</v>
      </c>
      <c r="B12" s="12" t="s">
        <v>50</v>
      </c>
      <c r="C12">
        <f>SUMIF(Standings!$B:$B,A12,Standings!$C:$C)</f>
        <v>145</v>
      </c>
      <c r="D12">
        <f>SUMIF(Standings!$B:$B,A12,Standings!$D:$D)</f>
        <v>172</v>
      </c>
    </row>
    <row r="13" spans="1:4" x14ac:dyDescent="0.25">
      <c r="A13" s="11" t="s">
        <v>8</v>
      </c>
      <c r="B13" s="12" t="s">
        <v>50</v>
      </c>
      <c r="C13">
        <f>SUMIF(Standings!$B:$B,A13,Standings!$C:$C)</f>
        <v>137</v>
      </c>
      <c r="D13">
        <f>SUMIF(Standings!$B:$B,A13,Standings!$D:$D)</f>
        <v>183</v>
      </c>
    </row>
    <row r="14" spans="1:4" x14ac:dyDescent="0.25">
      <c r="A14" s="11" t="s">
        <v>39</v>
      </c>
      <c r="B14" s="12" t="s">
        <v>50</v>
      </c>
      <c r="C14">
        <f>SUMIF(Standings!$B:$B,A14,Standings!$C:$C)</f>
        <v>131</v>
      </c>
      <c r="D14">
        <f>SUMIF(Standings!$B:$B,A14,Standings!$D:$D)</f>
        <v>157</v>
      </c>
    </row>
    <row r="15" spans="1:4" x14ac:dyDescent="0.25">
      <c r="A15" s="11" t="s">
        <v>18</v>
      </c>
      <c r="B15" s="12" t="s">
        <v>50</v>
      </c>
      <c r="C15">
        <f>SUMIF(Standings!$B:$B,A15,Standings!$C:$C)</f>
        <v>127</v>
      </c>
      <c r="D15">
        <f>SUMIF(Standings!$B:$B,A15,Standings!$D:$D)</f>
        <v>193</v>
      </c>
    </row>
    <row r="16" spans="1:4" x14ac:dyDescent="0.25">
      <c r="A16" s="11" t="s">
        <v>27</v>
      </c>
      <c r="B16" s="12" t="s">
        <v>50</v>
      </c>
      <c r="C16">
        <f>SUMIF(Standings!$B:$B,A16,Standings!$C:$C)</f>
        <v>125</v>
      </c>
      <c r="D16">
        <f>SUMIF(Standings!$B:$B,A16,Standings!$D:$D)</f>
        <v>195</v>
      </c>
    </row>
    <row r="17" spans="1:4" x14ac:dyDescent="0.25">
      <c r="A17" s="11" t="s">
        <v>12</v>
      </c>
      <c r="B17" s="12" t="s">
        <v>50</v>
      </c>
      <c r="C17">
        <f>SUMIF(Standings!$B:$B,A17,Standings!$C:$C)</f>
        <v>99</v>
      </c>
      <c r="D17">
        <f>SUMIF(Standings!$B:$B,A17,Standings!$D:$D)</f>
        <v>220</v>
      </c>
    </row>
    <row r="18" spans="1:4" x14ac:dyDescent="0.25">
      <c r="A18" s="11"/>
      <c r="B18" s="12"/>
      <c r="C18">
        <f>SUMIF(Standings!$B:$B,A18,Standings!$C:$C)</f>
        <v>0</v>
      </c>
      <c r="D18">
        <f>SUMIF(Standings!$B:$B,A18,Standings!$D:$D)</f>
        <v>0</v>
      </c>
    </row>
    <row r="19" spans="1:4" x14ac:dyDescent="0.25">
      <c r="A19" s="11" t="s">
        <v>16</v>
      </c>
      <c r="B19" s="12" t="s">
        <v>87</v>
      </c>
      <c r="C19">
        <f>SUMIF(Standings!$B:$B,A19,Standings!$C:$C)</f>
        <v>197</v>
      </c>
      <c r="D19">
        <f>SUMIF(Standings!$B:$B,A19,Standings!$D:$D)</f>
        <v>121</v>
      </c>
    </row>
    <row r="20" spans="1:4" x14ac:dyDescent="0.25">
      <c r="A20" s="11" t="s">
        <v>28</v>
      </c>
      <c r="B20" s="12" t="s">
        <v>87</v>
      </c>
      <c r="C20">
        <f>SUMIF(Standings!$B:$B,A20,Standings!$C:$C)</f>
        <v>190</v>
      </c>
      <c r="D20">
        <f>SUMIF(Standings!$B:$B,A20,Standings!$D:$D)</f>
        <v>129</v>
      </c>
    </row>
    <row r="21" spans="1:4" x14ac:dyDescent="0.25">
      <c r="A21" s="11" t="s">
        <v>23</v>
      </c>
      <c r="B21" s="12" t="s">
        <v>87</v>
      </c>
      <c r="C21">
        <f>SUMIF(Standings!$B:$B,A21,Standings!$C:$C)</f>
        <v>183</v>
      </c>
      <c r="D21">
        <f>SUMIF(Standings!$B:$B,A21,Standings!$D:$D)</f>
        <v>137</v>
      </c>
    </row>
    <row r="22" spans="1:4" x14ac:dyDescent="0.25">
      <c r="A22" s="11" t="s">
        <v>33</v>
      </c>
      <c r="B22" s="12" t="s">
        <v>87</v>
      </c>
      <c r="C22">
        <f>SUMIF(Standings!$B:$B,A22,Standings!$C:$C)</f>
        <v>182</v>
      </c>
      <c r="D22">
        <f>SUMIF(Standings!$B:$B,A22,Standings!$D:$D)</f>
        <v>137</v>
      </c>
    </row>
    <row r="23" spans="1:4" x14ac:dyDescent="0.25">
      <c r="A23" s="11" t="s">
        <v>13</v>
      </c>
      <c r="B23" s="12" t="s">
        <v>87</v>
      </c>
      <c r="C23">
        <f>SUMIF(Standings!$B:$B,A23,Standings!$C:$C)</f>
        <v>168</v>
      </c>
      <c r="D23">
        <f>SUMIF(Standings!$B:$B,A23,Standings!$D:$D)</f>
        <v>152</v>
      </c>
    </row>
    <row r="24" spans="1:4" x14ac:dyDescent="0.25">
      <c r="A24" s="11" t="s">
        <v>21</v>
      </c>
      <c r="B24" s="12" t="s">
        <v>87</v>
      </c>
      <c r="C24">
        <f>SUMIF(Standings!$B:$B,A24,Standings!$C:$C)</f>
        <v>165</v>
      </c>
      <c r="D24">
        <f>SUMIF(Standings!$B:$B,A24,Standings!$D:$D)</f>
        <v>153</v>
      </c>
    </row>
    <row r="25" spans="1:4" x14ac:dyDescent="0.25">
      <c r="A25" s="11" t="s">
        <v>6</v>
      </c>
      <c r="B25" s="12" t="s">
        <v>87</v>
      </c>
      <c r="C25">
        <f>SUMIF(Standings!$B:$B,A25,Standings!$C:$C)</f>
        <v>164</v>
      </c>
      <c r="D25">
        <f>SUMIF(Standings!$B:$B,A25,Standings!$D:$D)</f>
        <v>155</v>
      </c>
    </row>
    <row r="26" spans="1:4" x14ac:dyDescent="0.25">
      <c r="A26" s="11" t="s">
        <v>24</v>
      </c>
      <c r="B26" s="12" t="s">
        <v>87</v>
      </c>
      <c r="C26">
        <f>SUMIF(Standings!$B:$B,A26,Standings!$C:$C)</f>
        <v>158</v>
      </c>
      <c r="D26">
        <f>SUMIF(Standings!$B:$B,A26,Standings!$D:$D)</f>
        <v>162</v>
      </c>
    </row>
    <row r="27" spans="1:4" x14ac:dyDescent="0.25">
      <c r="A27" s="11" t="s">
        <v>10</v>
      </c>
      <c r="B27" s="12" t="s">
        <v>87</v>
      </c>
      <c r="C27">
        <f>SUMIF(Standings!$B:$B,A27,Standings!$C:$C)</f>
        <v>157</v>
      </c>
      <c r="D27">
        <f>SUMIF(Standings!$B:$B,A27,Standings!$D:$D)</f>
        <v>163</v>
      </c>
    </row>
    <row r="28" spans="1:4" x14ac:dyDescent="0.25">
      <c r="A28" s="11" t="s">
        <v>9</v>
      </c>
      <c r="B28" s="12" t="s">
        <v>87</v>
      </c>
      <c r="C28">
        <f>SUMIF(Standings!$B:$B,A28,Standings!$C:$C)</f>
        <v>157</v>
      </c>
      <c r="D28">
        <f>SUMIF(Standings!$B:$B,A28,Standings!$D:$D)</f>
        <v>162</v>
      </c>
    </row>
    <row r="29" spans="1:4" x14ac:dyDescent="0.25">
      <c r="A29" s="11" t="s">
        <v>32</v>
      </c>
      <c r="B29" s="12" t="s">
        <v>87</v>
      </c>
      <c r="C29">
        <f>SUMIF(Standings!$B:$B,A29,Standings!$C:$C)</f>
        <v>148</v>
      </c>
      <c r="D29">
        <f>SUMIF(Standings!$B:$B,A29,Standings!$D:$D)</f>
        <v>171</v>
      </c>
    </row>
    <row r="30" spans="1:4" x14ac:dyDescent="0.25">
      <c r="A30" s="11" t="s">
        <v>35</v>
      </c>
      <c r="B30" s="12" t="s">
        <v>87</v>
      </c>
      <c r="C30">
        <f>SUMIF(Standings!$B:$B,A30,Standings!$C:$C)</f>
        <v>144</v>
      </c>
      <c r="D30">
        <f>SUMIF(Standings!$B:$B,A30,Standings!$D:$D)</f>
        <v>175</v>
      </c>
    </row>
    <row r="31" spans="1:4" x14ac:dyDescent="0.25">
      <c r="A31" s="11" t="s">
        <v>36</v>
      </c>
      <c r="B31" s="12" t="s">
        <v>87</v>
      </c>
      <c r="C31">
        <f>SUMIF(Standings!$B:$B,A31,Standings!$C:$C)</f>
        <v>138</v>
      </c>
      <c r="D31">
        <f>SUMIF(Standings!$B:$B,A31,Standings!$D:$D)</f>
        <v>182</v>
      </c>
    </row>
    <row r="32" spans="1:4" x14ac:dyDescent="0.25">
      <c r="A32" s="11" t="s">
        <v>5</v>
      </c>
      <c r="B32" s="12" t="s">
        <v>87</v>
      </c>
      <c r="C32">
        <f>SUMIF(Standings!$B:$B,A32,Standings!$C:$C)</f>
        <v>137</v>
      </c>
      <c r="D32">
        <f>SUMIF(Standings!$B:$B,A32,Standings!$D:$D)</f>
        <v>181</v>
      </c>
    </row>
    <row r="33" spans="1:4" x14ac:dyDescent="0.25">
      <c r="A33" s="11" t="s">
        <v>38</v>
      </c>
      <c r="B33" s="12" t="s">
        <v>87</v>
      </c>
      <c r="C33">
        <f>SUMIF(Standings!$B:$B,A33,Standings!$C:$C)</f>
        <v>132</v>
      </c>
      <c r="D33">
        <f>SUMIF(Standings!$B:$B,A33,Standings!$D:$D)</f>
        <v>187</v>
      </c>
    </row>
    <row r="34" spans="1:4" x14ac:dyDescent="0.25">
      <c r="A34" s="11" t="s">
        <v>15</v>
      </c>
      <c r="B34" s="12" t="s">
        <v>87</v>
      </c>
      <c r="C34">
        <f>SUMIF(Standings!$B:$B,A34,Standings!$C:$C)</f>
        <v>114</v>
      </c>
      <c r="D34">
        <f>SUMIF(Standings!$B:$B,A34,Standings!$D:$D)</f>
        <v>205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14390-987B-4775-9267-C210C04F69A3}">
  <dimension ref="A1:K21"/>
  <sheetViews>
    <sheetView zoomScale="85" zoomScaleNormal="85" workbookViewId="0">
      <selection activeCell="J43" sqref="J43"/>
    </sheetView>
  </sheetViews>
  <sheetFormatPr defaultRowHeight="15" x14ac:dyDescent="0.25"/>
  <cols>
    <col min="2" max="2" width="21.25" customWidth="1"/>
    <col min="3" max="3" width="19.25" customWidth="1"/>
    <col min="4" max="4" width="18.625" customWidth="1"/>
    <col min="5" max="5" width="19.25" customWidth="1"/>
    <col min="6" max="6" width="18" customWidth="1"/>
    <col min="7" max="7" width="13.875" customWidth="1"/>
    <col min="8" max="8" width="25" customWidth="1"/>
    <col min="9" max="9" width="20" customWidth="1"/>
    <col min="10" max="10" width="14.75" customWidth="1"/>
    <col min="11" max="11" width="17.875" customWidth="1"/>
  </cols>
  <sheetData>
    <row r="1" spans="1:11" x14ac:dyDescent="0.25">
      <c r="A1" t="s">
        <v>151</v>
      </c>
      <c r="B1" t="s">
        <v>22</v>
      </c>
      <c r="C1" t="s">
        <v>29</v>
      </c>
      <c r="D1" t="s">
        <v>16</v>
      </c>
      <c r="E1" t="s">
        <v>28</v>
      </c>
      <c r="F1" t="s">
        <v>12</v>
      </c>
      <c r="G1" t="s">
        <v>15</v>
      </c>
      <c r="H1" t="s">
        <v>38</v>
      </c>
      <c r="I1" t="s">
        <v>18</v>
      </c>
      <c r="J1" t="s">
        <v>25</v>
      </c>
      <c r="K1" t="s">
        <v>35</v>
      </c>
    </row>
    <row r="2" spans="1:11" x14ac:dyDescent="0.25">
      <c r="A2">
        <v>2000</v>
      </c>
      <c r="B2">
        <f>AVERAGEIFS(Standings!$G:$G,Standings!$B:$B,"New England Patriots",Standings!$A:$A,A2)</f>
        <v>-2.5</v>
      </c>
      <c r="C2">
        <f>AVERAGEIFS(Standings!$G:$G,Standings!$B:$B,"Pittsburgh Steelers",Standings!$A:$A,A2)</f>
        <v>3.9</v>
      </c>
      <c r="D2">
        <f>AVERAGEIFS(Standings!$G:$G,Standings!$B:$B,"Green Bay Packers",Standings!$A:$A,A2)</f>
        <v>2.5</v>
      </c>
      <c r="E2">
        <f>AVERAGEIFS(Standings!$G:$G,Standings!$B:$B,"Philadelphia Eagles",Standings!$A:$A,A2)</f>
        <v>3.1</v>
      </c>
      <c r="F2">
        <f>AVERAGEIFS(Standings!$G:$G,Standings!$B:$B,"Cleveland Browns",Standings!$A:$A,A2)</f>
        <v>-14.6</v>
      </c>
      <c r="G2">
        <f>AVERAGEIFS(Standings!$G:$G,Standings!$B:$B,"Detroit Lions",Standings!$A:$A,A2)</f>
        <v>1.4</v>
      </c>
      <c r="H2">
        <f>AVERAGEIFS(Standings!$G:$G,Standings!$B:$B,"Washington Commanders",Standings!$A:$A,A2)</f>
        <v>1</v>
      </c>
      <c r="I2">
        <f>AVERAGEIFS(Standings!$G:$G,Standings!$B:$B,"Jacksonville Jaguars",Standings!$A:$A,A2)</f>
        <v>1.1000000000000001</v>
      </c>
      <c r="J2">
        <f>AVERAGEIFS(Standings!$G:$G,Standings!$B:$B,"New York Jets",Standings!$A:$A,A2)</f>
        <v>3.5</v>
      </c>
      <c r="K2">
        <f>AVERAGEIFS(Standings!$G:$G,Standings!$B:$B,"Los Angeles Rams",Standings!$A:$A,A2)</f>
        <v>3.1</v>
      </c>
    </row>
    <row r="3" spans="1:11" x14ac:dyDescent="0.25">
      <c r="A3">
        <f xml:space="preserve"> A2 +1</f>
        <v>2001</v>
      </c>
      <c r="B3">
        <f>AVERAGEIFS(Standings!$G:$G,Standings!$B:$B,"New England Patriots",Standings!$A:$A,A3)</f>
        <v>4.3</v>
      </c>
      <c r="C3">
        <f>AVERAGEIFS(Standings!$G:$G,Standings!$B:$B,"Pittsburgh Steelers",Standings!$A:$A,A3)</f>
        <v>7.4</v>
      </c>
      <c r="D3">
        <f>AVERAGEIFS(Standings!$G:$G,Standings!$B:$B,"Green Bay Packers",Standings!$A:$A,A3)</f>
        <v>6.6</v>
      </c>
      <c r="E3">
        <f>AVERAGEIFS(Standings!$G:$G,Standings!$B:$B,"Philadelphia Eagles",Standings!$A:$A,A3)</f>
        <v>7.7</v>
      </c>
      <c r="F3">
        <f>AVERAGEIFS(Standings!$G:$G,Standings!$B:$B,"Cleveland Browns",Standings!$A:$A,A3)</f>
        <v>-0.8</v>
      </c>
      <c r="G3">
        <f>AVERAGEIFS(Standings!$G:$G,Standings!$B:$B,"Detroit Lions",Standings!$A:$A,A3)</f>
        <v>-7.2</v>
      </c>
      <c r="H3">
        <f>AVERAGEIFS(Standings!$G:$G,Standings!$B:$B,"Washington Commanders",Standings!$A:$A,A3)</f>
        <v>-3.7</v>
      </c>
      <c r="I3">
        <f>AVERAGEIFS(Standings!$G:$G,Standings!$B:$B,"Jacksonville Jaguars",Standings!$A:$A,A3)</f>
        <v>0.9</v>
      </c>
      <c r="J3">
        <f>AVERAGEIFS(Standings!$G:$G,Standings!$B:$B,"New York Jets",Standings!$A:$A,A3)</f>
        <v>0.8</v>
      </c>
      <c r="K3">
        <f>AVERAGEIFS(Standings!$G:$G,Standings!$B:$B,"Los Angeles Rams",Standings!$A:$A,A3)</f>
        <v>13.4</v>
      </c>
    </row>
    <row r="4" spans="1:11" x14ac:dyDescent="0.25">
      <c r="A4">
        <f t="shared" ref="A4:A20" si="0" xml:space="preserve"> A3 +1</f>
        <v>2002</v>
      </c>
      <c r="B4">
        <f>AVERAGEIFS(Standings!$G:$G,Standings!$B:$B,"New England Patriots",Standings!$A:$A,A4)</f>
        <v>4</v>
      </c>
      <c r="C4">
        <f>AVERAGEIFS(Standings!$G:$G,Standings!$B:$B,"Pittsburgh Steelers",Standings!$A:$A,A4)</f>
        <v>2.7</v>
      </c>
      <c r="D4">
        <f>AVERAGEIFS(Standings!$G:$G,Standings!$B:$B,"Green Bay Packers",Standings!$A:$A,A4)</f>
        <v>3.6</v>
      </c>
      <c r="E4">
        <f>AVERAGEIFS(Standings!$G:$G,Standings!$B:$B,"Philadelphia Eagles",Standings!$A:$A,A4)</f>
        <v>8.3000000000000007</v>
      </c>
      <c r="F4">
        <f>AVERAGEIFS(Standings!$G:$G,Standings!$B:$B,"Cleveland Browns",Standings!$A:$A,A4)</f>
        <v>1.2</v>
      </c>
      <c r="G4">
        <f>AVERAGEIFS(Standings!$G:$G,Standings!$B:$B,"Detroit Lions",Standings!$A:$A,A4)</f>
        <v>-9.1999999999999993</v>
      </c>
      <c r="H4">
        <f>AVERAGEIFS(Standings!$G:$G,Standings!$B:$B,"Washington Commanders",Standings!$A:$A,A4)</f>
        <v>-4.5</v>
      </c>
      <c r="I4">
        <f>AVERAGEIFS(Standings!$G:$G,Standings!$B:$B,"Jacksonville Jaguars",Standings!$A:$A,A4)</f>
        <v>-0.2</v>
      </c>
      <c r="J4">
        <f>AVERAGEIFS(Standings!$G:$G,Standings!$B:$B,"New York Jets",Standings!$A:$A,A4)</f>
        <v>3.2</v>
      </c>
      <c r="K4">
        <f>AVERAGEIFS(Standings!$G:$G,Standings!$B:$B,"Los Angeles Rams",Standings!$A:$A,A4)</f>
        <v>-3.3</v>
      </c>
    </row>
    <row r="5" spans="1:11" x14ac:dyDescent="0.25">
      <c r="A5">
        <f t="shared" si="0"/>
        <v>2003</v>
      </c>
      <c r="B5">
        <f>AVERAGEIFS(Standings!$G:$G,Standings!$B:$B,"New England Patriots",Standings!$A:$A,A5)</f>
        <v>6.9</v>
      </c>
      <c r="C5">
        <f>AVERAGEIFS(Standings!$G:$G,Standings!$B:$B,"Pittsburgh Steelers",Standings!$A:$A,A5)</f>
        <v>-1.1000000000000001</v>
      </c>
      <c r="D5">
        <f>AVERAGEIFS(Standings!$G:$G,Standings!$B:$B,"Green Bay Packers",Standings!$A:$A,A5)</f>
        <v>8.1</v>
      </c>
      <c r="E5">
        <f>AVERAGEIFS(Standings!$G:$G,Standings!$B:$B,"Philadelphia Eagles",Standings!$A:$A,A5)</f>
        <v>4.4000000000000004</v>
      </c>
      <c r="F5">
        <f>AVERAGEIFS(Standings!$G:$G,Standings!$B:$B,"Cleveland Browns",Standings!$A:$A,A5)</f>
        <v>-2.9</v>
      </c>
      <c r="G5">
        <f>AVERAGEIFS(Standings!$G:$G,Standings!$B:$B,"Detroit Lions",Standings!$A:$A,A5)</f>
        <v>-5.8</v>
      </c>
      <c r="H5">
        <f>AVERAGEIFS(Standings!$G:$G,Standings!$B:$B,"Washington Commanders",Standings!$A:$A,A5)</f>
        <v>-5.7</v>
      </c>
      <c r="I5">
        <f>AVERAGEIFS(Standings!$G:$G,Standings!$B:$B,"Jacksonville Jaguars",Standings!$A:$A,A5)</f>
        <v>-2.4</v>
      </c>
      <c r="J5">
        <f>AVERAGEIFS(Standings!$G:$G,Standings!$B:$B,"New York Jets",Standings!$A:$A,A5)</f>
        <v>-0.6</v>
      </c>
      <c r="K5">
        <f>AVERAGEIFS(Standings!$G:$G,Standings!$B:$B,"Los Angeles Rams",Standings!$A:$A,A5)</f>
        <v>5.9</v>
      </c>
    </row>
    <row r="6" spans="1:11" x14ac:dyDescent="0.25">
      <c r="A6">
        <f t="shared" si="0"/>
        <v>2004</v>
      </c>
      <c r="B6">
        <f>AVERAGEIFS(Standings!$G:$G,Standings!$B:$B,"New England Patriots",Standings!$A:$A,A6)</f>
        <v>12.8</v>
      </c>
      <c r="C6">
        <f>AVERAGEIFS(Standings!$G:$G,Standings!$B:$B,"Pittsburgh Steelers",Standings!$A:$A,A6)</f>
        <v>9</v>
      </c>
      <c r="D6">
        <f>AVERAGEIFS(Standings!$G:$G,Standings!$B:$B,"Green Bay Packers",Standings!$A:$A,A6)</f>
        <v>0.3</v>
      </c>
      <c r="E6">
        <f>AVERAGEIFS(Standings!$G:$G,Standings!$B:$B,"Philadelphia Eagles",Standings!$A:$A,A6)</f>
        <v>5.6</v>
      </c>
      <c r="F6">
        <f>AVERAGEIFS(Standings!$G:$G,Standings!$B:$B,"Cleveland Browns",Standings!$A:$A,A6)</f>
        <v>-3.4</v>
      </c>
      <c r="G6">
        <f>AVERAGEIFS(Standings!$G:$G,Standings!$B:$B,"Detroit Lions",Standings!$A:$A,A6)</f>
        <v>-5.2</v>
      </c>
      <c r="H6">
        <f>AVERAGEIFS(Standings!$G:$G,Standings!$B:$B,"Washington Commanders",Standings!$A:$A,A6)</f>
        <v>-3.4</v>
      </c>
      <c r="I6">
        <f>AVERAGEIFS(Standings!$G:$G,Standings!$B:$B,"Jacksonville Jaguars",Standings!$A:$A,A6)</f>
        <v>0.8</v>
      </c>
      <c r="J6">
        <f>AVERAGEIFS(Standings!$G:$G,Standings!$B:$B,"New York Jets",Standings!$A:$A,A6)</f>
        <v>6.6</v>
      </c>
      <c r="K6">
        <f>AVERAGEIFS(Standings!$G:$G,Standings!$B:$B,"Los Angeles Rams",Standings!$A:$A,A6)</f>
        <v>-6</v>
      </c>
    </row>
    <row r="7" spans="1:11" x14ac:dyDescent="0.25">
      <c r="A7">
        <f t="shared" si="0"/>
        <v>2005</v>
      </c>
      <c r="B7">
        <f>AVERAGEIFS(Standings!$G:$G,Standings!$B:$B,"New England Patriots",Standings!$A:$A,A7)</f>
        <v>3.1</v>
      </c>
      <c r="C7">
        <f>AVERAGEIFS(Standings!$G:$G,Standings!$B:$B,"Pittsburgh Steelers",Standings!$A:$A,A7)</f>
        <v>7.8</v>
      </c>
      <c r="D7">
        <f>AVERAGEIFS(Standings!$G:$G,Standings!$B:$B,"Green Bay Packers",Standings!$A:$A,A7)</f>
        <v>-3.7</v>
      </c>
      <c r="E7">
        <f>AVERAGEIFS(Standings!$G:$G,Standings!$B:$B,"Philadelphia Eagles",Standings!$A:$A,A7)</f>
        <v>-2.2999999999999998</v>
      </c>
      <c r="F7">
        <f>AVERAGEIFS(Standings!$G:$G,Standings!$B:$B,"Cleveland Browns",Standings!$A:$A,A7)</f>
        <v>-4.2</v>
      </c>
      <c r="G7">
        <f>AVERAGEIFS(Standings!$G:$G,Standings!$B:$B,"Detroit Lions",Standings!$A:$A,A7)</f>
        <v>-6.7</v>
      </c>
      <c r="H7">
        <f>AVERAGEIFS(Standings!$G:$G,Standings!$B:$B,"Washington Commanders",Standings!$A:$A,A7)</f>
        <v>6</v>
      </c>
      <c r="I7">
        <f>AVERAGEIFS(Standings!$G:$G,Standings!$B:$B,"Jacksonville Jaguars",Standings!$A:$A,A7)</f>
        <v>4.8</v>
      </c>
      <c r="J7">
        <f>AVERAGEIFS(Standings!$G:$G,Standings!$B:$B,"New York Jets",Standings!$A:$A,A7)</f>
        <v>-6.4</v>
      </c>
      <c r="K7">
        <f>AVERAGEIFS(Standings!$G:$G,Standings!$B:$B,"Los Angeles Rams",Standings!$A:$A,A7)</f>
        <v>-5.0999999999999996</v>
      </c>
    </row>
    <row r="8" spans="1:11" x14ac:dyDescent="0.25">
      <c r="A8">
        <f t="shared" si="0"/>
        <v>2006</v>
      </c>
      <c r="B8">
        <f>AVERAGEIFS(Standings!$G:$G,Standings!$B:$B,"New England Patriots",Standings!$A:$A,A8)</f>
        <v>10.199999999999999</v>
      </c>
      <c r="C8">
        <f>AVERAGEIFS(Standings!$G:$G,Standings!$B:$B,"Pittsburgh Steelers",Standings!$A:$A,A8)</f>
        <v>3.4</v>
      </c>
      <c r="D8">
        <f>AVERAGEIFS(Standings!$G:$G,Standings!$B:$B,"Green Bay Packers",Standings!$A:$A,A8)</f>
        <v>-4.4000000000000004</v>
      </c>
      <c r="E8">
        <f>AVERAGEIFS(Standings!$G:$G,Standings!$B:$B,"Philadelphia Eagles",Standings!$A:$A,A8)</f>
        <v>3.4</v>
      </c>
      <c r="F8">
        <f>AVERAGEIFS(Standings!$G:$G,Standings!$B:$B,"Cleveland Browns",Standings!$A:$A,A8)</f>
        <v>-5.8</v>
      </c>
      <c r="G8">
        <f>AVERAGEIFS(Standings!$G:$G,Standings!$B:$B,"Detroit Lions",Standings!$A:$A,A8)</f>
        <v>-6.4</v>
      </c>
      <c r="H8">
        <f>AVERAGEIFS(Standings!$G:$G,Standings!$B:$B,"Washington Commanders",Standings!$A:$A,A8)</f>
        <v>-4</v>
      </c>
      <c r="I8">
        <f>AVERAGEIFS(Standings!$G:$G,Standings!$B:$B,"Jacksonville Jaguars",Standings!$A:$A,A8)</f>
        <v>7.5</v>
      </c>
      <c r="J8">
        <f>AVERAGEIFS(Standings!$G:$G,Standings!$B:$B,"New York Jets",Standings!$A:$A,A8)</f>
        <v>2</v>
      </c>
      <c r="K8">
        <f>AVERAGEIFS(Standings!$G:$G,Standings!$B:$B,"Los Angeles Rams",Standings!$A:$A,A8)</f>
        <v>-4</v>
      </c>
    </row>
    <row r="9" spans="1:11" x14ac:dyDescent="0.25">
      <c r="A9">
        <f t="shared" si="0"/>
        <v>2007</v>
      </c>
      <c r="B9">
        <f>AVERAGEIFS(Standings!$G:$G,Standings!$B:$B,"New England Patriots",Standings!$A:$A,A9)</f>
        <v>20.100000000000001</v>
      </c>
      <c r="C9">
        <f>AVERAGEIFS(Standings!$G:$G,Standings!$B:$B,"Pittsburgh Steelers",Standings!$A:$A,A9)</f>
        <v>5.2</v>
      </c>
      <c r="D9">
        <f>AVERAGEIFS(Standings!$G:$G,Standings!$B:$B,"Green Bay Packers",Standings!$A:$A,A9)</f>
        <v>9</v>
      </c>
      <c r="E9">
        <f>AVERAGEIFS(Standings!$G:$G,Standings!$B:$B,"Philadelphia Eagles",Standings!$A:$A,A9)</f>
        <v>5.3</v>
      </c>
      <c r="F9">
        <f>AVERAGEIFS(Standings!$G:$G,Standings!$B:$B,"Cleveland Browns",Standings!$A:$A,A9)</f>
        <v>-1.1000000000000001</v>
      </c>
      <c r="G9">
        <f>AVERAGEIFS(Standings!$G:$G,Standings!$B:$B,"Detroit Lions",Standings!$A:$A,A9)</f>
        <v>-3.6</v>
      </c>
      <c r="H9">
        <f>AVERAGEIFS(Standings!$G:$G,Standings!$B:$B,"Washington Commanders",Standings!$A:$A,A9)</f>
        <v>4.5</v>
      </c>
      <c r="I9">
        <f>AVERAGEIFS(Standings!$G:$G,Standings!$B:$B,"Jacksonville Jaguars",Standings!$A:$A,A9)</f>
        <v>6.8</v>
      </c>
      <c r="J9">
        <f>AVERAGEIFS(Standings!$G:$G,Standings!$B:$B,"New York Jets",Standings!$A:$A,A9)</f>
        <v>-3.7</v>
      </c>
      <c r="K9">
        <f>AVERAGEIFS(Standings!$G:$G,Standings!$B:$B,"Los Angeles Rams",Standings!$A:$A,A9)</f>
        <v>-13</v>
      </c>
    </row>
    <row r="10" spans="1:11" x14ac:dyDescent="0.25">
      <c r="A10">
        <f t="shared" si="0"/>
        <v>2008</v>
      </c>
      <c r="B10">
        <f>AVERAGEIFS(Standings!$G:$G,Standings!$B:$B,"New England Patriots",Standings!$A:$A,A10)</f>
        <v>3.9</v>
      </c>
      <c r="C10">
        <f>AVERAGEIFS(Standings!$G:$G,Standings!$B:$B,"Pittsburgh Steelers",Standings!$A:$A,A10)</f>
        <v>9.8000000000000007</v>
      </c>
      <c r="D10">
        <f>AVERAGEIFS(Standings!$G:$G,Standings!$B:$B,"Green Bay Packers",Standings!$A:$A,A10)</f>
        <v>2.9</v>
      </c>
      <c r="E10">
        <f>AVERAGEIFS(Standings!$G:$G,Standings!$B:$B,"Philadelphia Eagles",Standings!$A:$A,A10)</f>
        <v>7.8</v>
      </c>
      <c r="F10">
        <f>AVERAGEIFS(Standings!$G:$G,Standings!$B:$B,"Cleveland Browns",Standings!$A:$A,A10)</f>
        <v>-4.5999999999999996</v>
      </c>
      <c r="G10">
        <f>AVERAGEIFS(Standings!$G:$G,Standings!$B:$B,"Detroit Lions",Standings!$A:$A,A10)</f>
        <v>-13.1</v>
      </c>
      <c r="H10">
        <f>AVERAGEIFS(Standings!$G:$G,Standings!$B:$B,"Washington Commanders",Standings!$A:$A,A10)</f>
        <v>-1.8</v>
      </c>
      <c r="I10">
        <f>AVERAGEIFS(Standings!$G:$G,Standings!$B:$B,"Jacksonville Jaguars",Standings!$A:$A,A10)</f>
        <v>-2.5</v>
      </c>
      <c r="J10">
        <f>AVERAGEIFS(Standings!$G:$G,Standings!$B:$B,"New York Jets",Standings!$A:$A,A10)</f>
        <v>0.2</v>
      </c>
      <c r="K10">
        <f>AVERAGEIFS(Standings!$G:$G,Standings!$B:$B,"Los Angeles Rams",Standings!$A:$A,A10)</f>
        <v>-15.1</v>
      </c>
    </row>
    <row r="11" spans="1:11" x14ac:dyDescent="0.25">
      <c r="A11">
        <f t="shared" si="0"/>
        <v>2009</v>
      </c>
      <c r="B11">
        <f>AVERAGEIFS(Standings!$G:$G,Standings!$B:$B,"New England Patriots",Standings!$A:$A,A11)</f>
        <v>11.2</v>
      </c>
      <c r="C11">
        <f>AVERAGEIFS(Standings!$G:$G,Standings!$B:$B,"Pittsburgh Steelers",Standings!$A:$A,A11)</f>
        <v>1.7</v>
      </c>
      <c r="D11">
        <f>AVERAGEIFS(Standings!$G:$G,Standings!$B:$B,"Green Bay Packers",Standings!$A:$A,A11)</f>
        <v>7.4</v>
      </c>
      <c r="E11">
        <f>AVERAGEIFS(Standings!$G:$G,Standings!$B:$B,"Philadelphia Eagles",Standings!$A:$A,A11)</f>
        <v>6</v>
      </c>
      <c r="F11">
        <f>AVERAGEIFS(Standings!$G:$G,Standings!$B:$B,"Cleveland Browns",Standings!$A:$A,A11)</f>
        <v>-8.4</v>
      </c>
      <c r="G11">
        <f>AVERAGEIFS(Standings!$G:$G,Standings!$B:$B,"Detroit Lions",Standings!$A:$A,A11)</f>
        <v>-14.4</v>
      </c>
      <c r="H11">
        <f>AVERAGEIFS(Standings!$G:$G,Standings!$B:$B,"Washington Commanders",Standings!$A:$A,A11)</f>
        <v>-4.5999999999999996</v>
      </c>
      <c r="I11">
        <f>AVERAGEIFS(Standings!$G:$G,Standings!$B:$B,"Jacksonville Jaguars",Standings!$A:$A,A11)</f>
        <v>-6.5</v>
      </c>
      <c r="J11">
        <f>AVERAGEIFS(Standings!$G:$G,Standings!$B:$B,"New York Jets",Standings!$A:$A,A11)</f>
        <v>8.6</v>
      </c>
      <c r="K11">
        <f>AVERAGEIFS(Standings!$G:$G,Standings!$B:$B,"Los Angeles Rams",Standings!$A:$A,A11)</f>
        <v>-17.399999999999999</v>
      </c>
    </row>
    <row r="12" spans="1:11" x14ac:dyDescent="0.25">
      <c r="A12">
        <f t="shared" si="0"/>
        <v>2010</v>
      </c>
      <c r="B12">
        <f>AVERAGEIFS(Standings!$G:$G,Standings!$B:$B,"New England Patriots",Standings!$A:$A,A12)</f>
        <v>15.4</v>
      </c>
      <c r="C12">
        <f>AVERAGEIFS(Standings!$G:$G,Standings!$B:$B,"Pittsburgh Steelers",Standings!$A:$A,A12)</f>
        <v>10.199999999999999</v>
      </c>
      <c r="D12">
        <f>AVERAGEIFS(Standings!$G:$G,Standings!$B:$B,"Green Bay Packers",Standings!$A:$A,A12)</f>
        <v>10.9</v>
      </c>
      <c r="E12">
        <f>AVERAGEIFS(Standings!$G:$G,Standings!$B:$B,"Philadelphia Eagles",Standings!$A:$A,A12)</f>
        <v>4.2</v>
      </c>
      <c r="F12">
        <f>AVERAGEIFS(Standings!$G:$G,Standings!$B:$B,"Cleveland Browns",Standings!$A:$A,A12)</f>
        <v>-1.5</v>
      </c>
      <c r="G12">
        <f>AVERAGEIFS(Standings!$G:$G,Standings!$B:$B,"Detroit Lions",Standings!$A:$A,A12)</f>
        <v>1.9</v>
      </c>
      <c r="H12">
        <f>AVERAGEIFS(Standings!$G:$G,Standings!$B:$B,"Washington Commanders",Standings!$A:$A,A12)</f>
        <v>-3.8</v>
      </c>
      <c r="I12">
        <f>AVERAGEIFS(Standings!$G:$G,Standings!$B:$B,"Jacksonville Jaguars",Standings!$A:$A,A12)</f>
        <v>-4.5</v>
      </c>
      <c r="J12">
        <f>AVERAGEIFS(Standings!$G:$G,Standings!$B:$B,"New York Jets",Standings!$A:$A,A12)</f>
        <v>6.5</v>
      </c>
      <c r="K12">
        <f>AVERAGEIFS(Standings!$G:$G,Standings!$B:$B,"Los Angeles Rams",Standings!$A:$A,A12)</f>
        <v>-6.7</v>
      </c>
    </row>
    <row r="13" spans="1:11" x14ac:dyDescent="0.25">
      <c r="A13">
        <f t="shared" si="0"/>
        <v>2011</v>
      </c>
      <c r="B13">
        <f>AVERAGEIFS(Standings!$G:$G,Standings!$B:$B,"New England Patriots",Standings!$A:$A,A13)</f>
        <v>9.3000000000000007</v>
      </c>
      <c r="C13">
        <f>AVERAGEIFS(Standings!$G:$G,Standings!$B:$B,"Pittsburgh Steelers",Standings!$A:$A,A13)</f>
        <v>5.3</v>
      </c>
      <c r="D13">
        <f>AVERAGEIFS(Standings!$G:$G,Standings!$B:$B,"Green Bay Packers",Standings!$A:$A,A13)</f>
        <v>11.4</v>
      </c>
      <c r="E13">
        <f>AVERAGEIFS(Standings!$G:$G,Standings!$B:$B,"Philadelphia Eagles",Standings!$A:$A,A13)</f>
        <v>4.7</v>
      </c>
      <c r="F13">
        <f>AVERAGEIFS(Standings!$G:$G,Standings!$B:$B,"Cleveland Browns",Standings!$A:$A,A13)</f>
        <v>-5.4</v>
      </c>
      <c r="G13">
        <f>AVERAGEIFS(Standings!$G:$G,Standings!$B:$B,"Detroit Lions",Standings!$A:$A,A13)</f>
        <v>6.1</v>
      </c>
      <c r="H13">
        <f>AVERAGEIFS(Standings!$G:$G,Standings!$B:$B,"Washington Commanders",Standings!$A:$A,A13)</f>
        <v>-4.0999999999999996</v>
      </c>
      <c r="I13">
        <f>AVERAGEIFS(Standings!$G:$G,Standings!$B:$B,"Jacksonville Jaguars",Standings!$A:$A,A13)</f>
        <v>-5.6</v>
      </c>
      <c r="J13">
        <f>AVERAGEIFS(Standings!$G:$G,Standings!$B:$B,"New York Jets",Standings!$A:$A,A13)</f>
        <v>0.9</v>
      </c>
      <c r="K13">
        <f>AVERAGEIFS(Standings!$G:$G,Standings!$B:$B,"Los Angeles Rams",Standings!$A:$A,A13)</f>
        <v>-10.4</v>
      </c>
    </row>
    <row r="14" spans="1:11" x14ac:dyDescent="0.25">
      <c r="A14">
        <f t="shared" si="0"/>
        <v>2012</v>
      </c>
      <c r="B14">
        <f>AVERAGEIFS(Standings!$G:$G,Standings!$B:$B,"New England Patriots",Standings!$A:$A,A14)</f>
        <v>12.8</v>
      </c>
      <c r="C14">
        <f>AVERAGEIFS(Standings!$G:$G,Standings!$B:$B,"Pittsburgh Steelers",Standings!$A:$A,A14)</f>
        <v>-0.7</v>
      </c>
      <c r="D14">
        <f>AVERAGEIFS(Standings!$G:$G,Standings!$B:$B,"Green Bay Packers",Standings!$A:$A,A14)</f>
        <v>7.3</v>
      </c>
      <c r="E14">
        <f>AVERAGEIFS(Standings!$G:$G,Standings!$B:$B,"Philadelphia Eagles",Standings!$A:$A,A14)</f>
        <v>-8.9</v>
      </c>
      <c r="F14">
        <f>AVERAGEIFS(Standings!$G:$G,Standings!$B:$B,"Cleveland Browns",Standings!$A:$A,A14)</f>
        <v>-5.3</v>
      </c>
      <c r="G14">
        <f>AVERAGEIFS(Standings!$G:$G,Standings!$B:$B,"Detroit Lions",Standings!$A:$A,A14)</f>
        <v>-2.2999999999999998</v>
      </c>
      <c r="H14">
        <f>AVERAGEIFS(Standings!$G:$G,Standings!$B:$B,"Washington Commanders",Standings!$A:$A,A14)</f>
        <v>3.4</v>
      </c>
      <c r="I14">
        <f>AVERAGEIFS(Standings!$G:$G,Standings!$B:$B,"Jacksonville Jaguars",Standings!$A:$A,A14)</f>
        <v>-13</v>
      </c>
      <c r="J14">
        <f>AVERAGEIFS(Standings!$G:$G,Standings!$B:$B,"New York Jets",Standings!$A:$A,A14)</f>
        <v>-5.9</v>
      </c>
      <c r="K14">
        <f>AVERAGEIFS(Standings!$G:$G,Standings!$B:$B,"Los Angeles Rams",Standings!$A:$A,A14)</f>
        <v>0.4</v>
      </c>
    </row>
    <row r="15" spans="1:11" x14ac:dyDescent="0.25">
      <c r="A15">
        <f t="shared" si="0"/>
        <v>2013</v>
      </c>
      <c r="B15">
        <f>AVERAGEIFS(Standings!$G:$G,Standings!$B:$B,"New England Patriots",Standings!$A:$A,A15)</f>
        <v>5.9</v>
      </c>
      <c r="C15">
        <f>AVERAGEIFS(Standings!$G:$G,Standings!$B:$B,"Pittsburgh Steelers",Standings!$A:$A,A15)</f>
        <v>-2</v>
      </c>
      <c r="D15">
        <f>AVERAGEIFS(Standings!$G:$G,Standings!$B:$B,"Green Bay Packers",Standings!$A:$A,A15)</f>
        <v>-3.1</v>
      </c>
      <c r="E15">
        <f>AVERAGEIFS(Standings!$G:$G,Standings!$B:$B,"Philadelphia Eagles",Standings!$A:$A,A15)</f>
        <v>1.9</v>
      </c>
      <c r="F15">
        <f>AVERAGEIFS(Standings!$G:$G,Standings!$B:$B,"Cleveland Browns",Standings!$A:$A,A15)</f>
        <v>-7.7</v>
      </c>
      <c r="G15">
        <f>AVERAGEIFS(Standings!$G:$G,Standings!$B:$B,"Detroit Lions",Standings!$A:$A,A15)</f>
        <v>-1.6</v>
      </c>
      <c r="H15">
        <f>AVERAGEIFS(Standings!$G:$G,Standings!$B:$B,"Washington Commanders",Standings!$A:$A,A15)</f>
        <v>-9.3000000000000007</v>
      </c>
      <c r="I15">
        <f>AVERAGEIFS(Standings!$G:$G,Standings!$B:$B,"Jacksonville Jaguars",Standings!$A:$A,A15)</f>
        <v>-11.1</v>
      </c>
      <c r="J15">
        <f>AVERAGEIFS(Standings!$G:$G,Standings!$B:$B,"New York Jets",Standings!$A:$A,A15)</f>
        <v>-6.1</v>
      </c>
      <c r="K15">
        <f>AVERAGEIFS(Standings!$G:$G,Standings!$B:$B,"Los Angeles Rams",Standings!$A:$A,A15)</f>
        <v>2.2000000000000002</v>
      </c>
    </row>
    <row r="16" spans="1:11" x14ac:dyDescent="0.25">
      <c r="A16">
        <f t="shared" si="0"/>
        <v>2014</v>
      </c>
      <c r="B16">
        <f>AVERAGEIFS(Standings!$G:$G,Standings!$B:$B,"New England Patriots",Standings!$A:$A,A16)</f>
        <v>10.9</v>
      </c>
      <c r="C16">
        <f>AVERAGEIFS(Standings!$G:$G,Standings!$B:$B,"Pittsburgh Steelers",Standings!$A:$A,A16)</f>
        <v>2.2000000000000002</v>
      </c>
      <c r="D16">
        <f>AVERAGEIFS(Standings!$G:$G,Standings!$B:$B,"Green Bay Packers",Standings!$A:$A,A16)</f>
        <v>8.3000000000000007</v>
      </c>
      <c r="E16">
        <f>AVERAGEIFS(Standings!$G:$G,Standings!$B:$B,"Philadelphia Eagles",Standings!$A:$A,A16)</f>
        <v>3.9</v>
      </c>
      <c r="F16">
        <f>AVERAGEIFS(Standings!$G:$G,Standings!$B:$B,"Cleveland Browns",Standings!$A:$A,A16)</f>
        <v>-3.9</v>
      </c>
      <c r="G16">
        <f>AVERAGEIFS(Standings!$G:$G,Standings!$B:$B,"Detroit Lions",Standings!$A:$A,A16)</f>
        <v>2.1</v>
      </c>
      <c r="H16">
        <f>AVERAGEIFS(Standings!$G:$G,Standings!$B:$B,"Washington Commanders",Standings!$A:$A,A16)</f>
        <v>-8.6999999999999993</v>
      </c>
      <c r="I16">
        <f>AVERAGEIFS(Standings!$G:$G,Standings!$B:$B,"Jacksonville Jaguars",Standings!$A:$A,A16)</f>
        <v>-10.5</v>
      </c>
      <c r="J16">
        <f>AVERAGEIFS(Standings!$G:$G,Standings!$B:$B,"New York Jets",Standings!$A:$A,A16)</f>
        <v>-5</v>
      </c>
      <c r="K16">
        <f>AVERAGEIFS(Standings!$G:$G,Standings!$B:$B,"Los Angeles Rams",Standings!$A:$A,A16)</f>
        <v>-0.8</v>
      </c>
    </row>
    <row r="17" spans="1:11" x14ac:dyDescent="0.25">
      <c r="A17">
        <f t="shared" si="0"/>
        <v>2015</v>
      </c>
      <c r="B17">
        <f>AVERAGEIFS(Standings!$G:$G,Standings!$B:$B,"New England Patriots",Standings!$A:$A,A17)</f>
        <v>7</v>
      </c>
      <c r="C17">
        <f>AVERAGEIFS(Standings!$G:$G,Standings!$B:$B,"Pittsburgh Steelers",Standings!$A:$A,A17)</f>
        <v>8.6999999999999993</v>
      </c>
      <c r="D17">
        <f>AVERAGEIFS(Standings!$G:$G,Standings!$B:$B,"Green Bay Packers",Standings!$A:$A,A17)</f>
        <v>5.3</v>
      </c>
      <c r="E17">
        <f>AVERAGEIFS(Standings!$G:$G,Standings!$B:$B,"Philadelphia Eagles",Standings!$A:$A,A17)</f>
        <v>-4.5999999999999996</v>
      </c>
      <c r="F17">
        <f>AVERAGEIFS(Standings!$G:$G,Standings!$B:$B,"Cleveland Browns",Standings!$A:$A,A17)</f>
        <v>-6.1</v>
      </c>
      <c r="G17">
        <f>AVERAGEIFS(Standings!$G:$G,Standings!$B:$B,"Detroit Lions",Standings!$A:$A,A17)</f>
        <v>-0.2</v>
      </c>
      <c r="H17">
        <f>AVERAGEIFS(Standings!$G:$G,Standings!$B:$B,"Washington Commanders",Standings!$A:$A,A17)</f>
        <v>-1.9</v>
      </c>
      <c r="I17">
        <f>AVERAGEIFS(Standings!$G:$G,Standings!$B:$B,"Jacksonville Jaguars",Standings!$A:$A,A17)</f>
        <v>-7.5</v>
      </c>
      <c r="J17">
        <f>AVERAGEIFS(Standings!$G:$G,Standings!$B:$B,"New York Jets",Standings!$A:$A,A17)</f>
        <v>1.5</v>
      </c>
      <c r="K17">
        <f>AVERAGEIFS(Standings!$G:$G,Standings!$B:$B,"Los Angeles Rams",Standings!$A:$A,A17)</f>
        <v>-0.2</v>
      </c>
    </row>
    <row r="18" spans="1:11" x14ac:dyDescent="0.25">
      <c r="A18">
        <f t="shared" si="0"/>
        <v>2016</v>
      </c>
      <c r="B18">
        <f>AVERAGEIFS(Standings!$G:$G,Standings!$B:$B,"New England Patriots",Standings!$A:$A,A18)</f>
        <v>9.3000000000000007</v>
      </c>
      <c r="C18">
        <f>AVERAGEIFS(Standings!$G:$G,Standings!$B:$B,"Pittsburgh Steelers",Standings!$A:$A,A18)</f>
        <v>4.7</v>
      </c>
      <c r="D18">
        <f>AVERAGEIFS(Standings!$G:$G,Standings!$B:$B,"Green Bay Packers",Standings!$A:$A,A18)</f>
        <v>2.8</v>
      </c>
      <c r="E18">
        <f>AVERAGEIFS(Standings!$G:$G,Standings!$B:$B,"Philadelphia Eagles",Standings!$A:$A,A18)</f>
        <v>3.8</v>
      </c>
      <c r="F18">
        <f>AVERAGEIFS(Standings!$G:$G,Standings!$B:$B,"Cleveland Browns",Standings!$A:$A,A18)</f>
        <v>-10.1</v>
      </c>
      <c r="G18">
        <f>AVERAGEIFS(Standings!$G:$G,Standings!$B:$B,"Detroit Lions",Standings!$A:$A,A18)</f>
        <v>-1.4</v>
      </c>
      <c r="H18">
        <f>AVERAGEIFS(Standings!$G:$G,Standings!$B:$B,"Washington Commanders",Standings!$A:$A,A18)</f>
        <v>2</v>
      </c>
      <c r="I18">
        <f>AVERAGEIFS(Standings!$G:$G,Standings!$B:$B,"Jacksonville Jaguars",Standings!$A:$A,A18)</f>
        <v>-5</v>
      </c>
      <c r="J18">
        <f>AVERAGEIFS(Standings!$G:$G,Standings!$B:$B,"New York Jets",Standings!$A:$A,A18)</f>
        <v>-8.5</v>
      </c>
      <c r="K18">
        <f>AVERAGEIFS(Standings!$G:$G,Standings!$B:$B,"Los Angeles Rams",Standings!$A:$A,A18)</f>
        <v>-11.1</v>
      </c>
    </row>
    <row r="19" spans="1:11" x14ac:dyDescent="0.25">
      <c r="A19">
        <f t="shared" si="0"/>
        <v>2017</v>
      </c>
      <c r="B19">
        <f>AVERAGEIFS(Standings!$G:$G,Standings!$B:$B,"New England Patriots",Standings!$A:$A,A19)</f>
        <v>8.9</v>
      </c>
      <c r="C19">
        <f>AVERAGEIFS(Standings!$G:$G,Standings!$B:$B,"Pittsburgh Steelers",Standings!$A:$A,A19)</f>
        <v>5</v>
      </c>
      <c r="D19">
        <f>AVERAGEIFS(Standings!$G:$G,Standings!$B:$B,"Green Bay Packers",Standings!$A:$A,A19)</f>
        <v>-1.9</v>
      </c>
      <c r="E19">
        <f>AVERAGEIFS(Standings!$G:$G,Standings!$B:$B,"Philadelphia Eagles",Standings!$A:$A,A19)</f>
        <v>9.4</v>
      </c>
      <c r="F19">
        <f>AVERAGEIFS(Standings!$G:$G,Standings!$B:$B,"Cleveland Browns",Standings!$A:$A,A19)</f>
        <v>-11</v>
      </c>
      <c r="G19">
        <f>AVERAGEIFS(Standings!$G:$G,Standings!$B:$B,"Detroit Lions",Standings!$A:$A,A19)</f>
        <v>2.7</v>
      </c>
      <c r="H19">
        <f>AVERAGEIFS(Standings!$G:$G,Standings!$B:$B,"Washington Commanders",Standings!$A:$A,A19)</f>
        <v>-1.3</v>
      </c>
      <c r="I19">
        <f>AVERAGEIFS(Standings!$G:$G,Standings!$B:$B,"Jacksonville Jaguars",Standings!$A:$A,A19)</f>
        <v>6.5</v>
      </c>
      <c r="J19">
        <f>AVERAGEIFS(Standings!$G:$G,Standings!$B:$B,"New York Jets",Standings!$A:$A,A19)</f>
        <v>-4.9000000000000004</v>
      </c>
      <c r="K19">
        <f>AVERAGEIFS(Standings!$G:$G,Standings!$B:$B,"Los Angeles Rams",Standings!$A:$A,A19)</f>
        <v>9.1999999999999993</v>
      </c>
    </row>
    <row r="20" spans="1:11" x14ac:dyDescent="0.25">
      <c r="A20">
        <f t="shared" si="0"/>
        <v>2018</v>
      </c>
      <c r="B20">
        <f>AVERAGEIFS(Standings!$G:$G,Standings!$B:$B,"New England Patriots",Standings!$A:$A,A20)</f>
        <v>5.2</v>
      </c>
      <c r="C20">
        <f>AVERAGEIFS(Standings!$G:$G,Standings!$B:$B,"Pittsburgh Steelers",Standings!$A:$A,A20)</f>
        <v>5.6</v>
      </c>
      <c r="D20">
        <f>AVERAGEIFS(Standings!$G:$G,Standings!$B:$B,"Green Bay Packers",Standings!$A:$A,A20)</f>
        <v>-2.7</v>
      </c>
      <c r="E20">
        <f>AVERAGEIFS(Standings!$G:$G,Standings!$B:$B,"Philadelphia Eagles",Standings!$A:$A,A20)</f>
        <v>1.7</v>
      </c>
      <c r="F20">
        <f>AVERAGEIFS(Standings!$G:$G,Standings!$B:$B,"Cleveland Browns",Standings!$A:$A,A20)</f>
        <v>-0.3</v>
      </c>
      <c r="G20">
        <f>AVERAGEIFS(Standings!$G:$G,Standings!$B:$B,"Detroit Lions",Standings!$A:$A,A20)</f>
        <v>-3</v>
      </c>
      <c r="H20">
        <f>AVERAGEIFS(Standings!$G:$G,Standings!$B:$B,"Washington Commanders",Standings!$A:$A,A20)</f>
        <v>-4.9000000000000004</v>
      </c>
      <c r="I20">
        <f>AVERAGEIFS(Standings!$G:$G,Standings!$B:$B,"Jacksonville Jaguars",Standings!$A:$A,A20)</f>
        <v>-4</v>
      </c>
      <c r="J20">
        <f>AVERAGEIFS(Standings!$G:$G,Standings!$B:$B,"New York Jets",Standings!$A:$A,A20)</f>
        <v>-7.8</v>
      </c>
      <c r="K20">
        <f>AVERAGEIFS(Standings!$G:$G,Standings!$B:$B,"Los Angeles Rams",Standings!$A:$A,A20)</f>
        <v>8.5</v>
      </c>
    </row>
    <row r="21" spans="1:11" x14ac:dyDescent="0.25">
      <c r="A21">
        <f xml:space="preserve"> A20 +1</f>
        <v>2019</v>
      </c>
      <c r="B21">
        <f>AVERAGEIFS(Standings!$G:$G,Standings!$B:$B,"New England Patriots",Standings!$A:$A,A21)</f>
        <v>10.4</v>
      </c>
      <c r="C21">
        <f>AVERAGEIFS(Standings!$G:$G,Standings!$B:$B,"Pittsburgh Steelers",Standings!$A:$A,A21)</f>
        <v>0.3</v>
      </c>
      <c r="D21">
        <f>AVERAGEIFS(Standings!$G:$G,Standings!$B:$B,"Green Bay Packers",Standings!$A:$A,A21)</f>
        <v>3.2</v>
      </c>
      <c r="E21">
        <f>AVERAGEIFS(Standings!$G:$G,Standings!$B:$B,"Philadelphia Eagles",Standings!$A:$A,A21)</f>
        <v>0.3</v>
      </c>
      <c r="F21">
        <f>AVERAGEIFS(Standings!$G:$G,Standings!$B:$B,"Cleveland Browns",Standings!$A:$A,A21)</f>
        <v>-1.9</v>
      </c>
      <c r="G21">
        <f>AVERAGEIFS(Standings!$G:$G,Standings!$B:$B,"Detroit Lions",Standings!$A:$A,A21)</f>
        <v>-5.2</v>
      </c>
      <c r="H21">
        <f>AVERAGEIFS(Standings!$G:$G,Standings!$B:$B,"Washington Commanders",Standings!$A:$A,A21)</f>
        <v>-10.8</v>
      </c>
      <c r="I21">
        <f>AVERAGEIFS(Standings!$G:$G,Standings!$B:$B,"Jacksonville Jaguars",Standings!$A:$A,A21)</f>
        <v>-6.7</v>
      </c>
      <c r="J21">
        <f>AVERAGEIFS(Standings!$G:$G,Standings!$B:$B,"New York Jets",Standings!$A:$A,A21)</f>
        <v>-6.3</v>
      </c>
      <c r="K21">
        <f>AVERAGEIFS(Standings!$G:$G,Standings!$B:$B,"Los Angeles Rams",Standings!$A:$A,A21)</f>
        <v>3.9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9E7D-6CDA-4F40-9CF0-B4AC95379C93}">
  <dimension ref="A1:J34"/>
  <sheetViews>
    <sheetView zoomScale="130" zoomScaleNormal="130" workbookViewId="0">
      <selection activeCell="H39" sqref="H39"/>
    </sheetView>
  </sheetViews>
  <sheetFormatPr defaultRowHeight="15" x14ac:dyDescent="0.25"/>
  <cols>
    <col min="1" max="1" width="20.75" bestFit="1" customWidth="1"/>
    <col min="2" max="2" width="12.5" customWidth="1"/>
    <col min="3" max="3" width="9.625" customWidth="1"/>
    <col min="4" max="4" width="11.875" customWidth="1"/>
    <col min="5" max="5" width="13.25" customWidth="1"/>
    <col min="6" max="6" width="20.5" customWidth="1"/>
    <col min="7" max="7" width="20.75" customWidth="1"/>
    <col min="8" max="8" width="20.25" customWidth="1"/>
    <col min="9" max="9" width="17.125" customWidth="1"/>
  </cols>
  <sheetData>
    <row r="1" spans="1:10" x14ac:dyDescent="0.25">
      <c r="A1" s="1" t="s">
        <v>4</v>
      </c>
      <c r="B1" s="1" t="s">
        <v>136</v>
      </c>
      <c r="C1" s="1" t="s">
        <v>132</v>
      </c>
      <c r="D1" s="2" t="s">
        <v>148</v>
      </c>
      <c r="E1" s="2" t="s">
        <v>150</v>
      </c>
      <c r="F1" s="2" t="s">
        <v>133</v>
      </c>
      <c r="G1" s="2" t="s">
        <v>134</v>
      </c>
      <c r="H1" s="2" t="s">
        <v>152</v>
      </c>
      <c r="I1" s="2" t="s">
        <v>153</v>
      </c>
    </row>
    <row r="2" spans="1:10" x14ac:dyDescent="0.25">
      <c r="A2" s="6" t="s">
        <v>8</v>
      </c>
      <c r="B2" s="7" t="s">
        <v>50</v>
      </c>
      <c r="C2" s="7" t="s">
        <v>51</v>
      </c>
      <c r="D2" s="4">
        <f>SUMIF(Standings!$B:$B,A2,Standings!$C:$C)</f>
        <v>137</v>
      </c>
      <c r="E2" s="4">
        <f>SUMIF(Standings!$B:$B,A2,Standings!$D:$D)</f>
        <v>183</v>
      </c>
      <c r="F2" s="4">
        <f>AVERAGEIF(Standings!$B:$B,A2,Standings!$H:$H)</f>
        <v>-1.6199999999999999</v>
      </c>
      <c r="G2" s="4">
        <f>AVERAGEIF(Standings!$B:$B,A2,Standings!$I:$I)</f>
        <v>-0.25499999999999995</v>
      </c>
      <c r="H2" s="4">
        <f>SUMIF(Standings!$B:$B,A2,Standings!$J:$J)</f>
        <v>2</v>
      </c>
      <c r="I2" s="4">
        <f>SUMIF(Standings!$B:$B,A2,Standings!$K:$K)</f>
        <v>0</v>
      </c>
      <c r="J2" s="4"/>
    </row>
    <row r="3" spans="1:10" x14ac:dyDescent="0.25">
      <c r="A3" s="8" t="s">
        <v>20</v>
      </c>
      <c r="B3" s="9" t="s">
        <v>50</v>
      </c>
      <c r="C3" s="9" t="s">
        <v>51</v>
      </c>
      <c r="D3" s="4">
        <f>SUMIF(Standings!$B:$B,A3,Standings!$C:$C)</f>
        <v>149</v>
      </c>
      <c r="E3" s="4">
        <f>SUMIF(Standings!$B:$B,A3,Standings!$D:$D)</f>
        <v>171</v>
      </c>
      <c r="F3" s="4">
        <f>AVERAGEIF(Standings!$B:$B,A3,Standings!$H:$H)</f>
        <v>-1.7849999999999995</v>
      </c>
      <c r="G3" s="4">
        <f>AVERAGEIF(Standings!$B:$B,A3,Standings!$I:$I)</f>
        <v>0.50499999999999989</v>
      </c>
      <c r="H3" s="4">
        <f>SUMIF(Standings!$B:$B,A3,Standings!$J:$J)</f>
        <v>4</v>
      </c>
      <c r="I3" s="4">
        <f>SUMIF(Standings!$B:$B,A3,Standings!$K:$K)</f>
        <v>0</v>
      </c>
      <c r="J3" s="4"/>
    </row>
    <row r="4" spans="1:10" x14ac:dyDescent="0.25">
      <c r="A4" s="6" t="s">
        <v>22</v>
      </c>
      <c r="B4" s="7" t="s">
        <v>50</v>
      </c>
      <c r="C4" s="7" t="s">
        <v>51</v>
      </c>
      <c r="D4" s="4">
        <f>SUMIF(Standings!$B:$B,A4,Standings!$C:$C)</f>
        <v>237</v>
      </c>
      <c r="E4" s="4">
        <f>SUMIF(Standings!$B:$B,A4,Standings!$D:$D)</f>
        <v>83</v>
      </c>
      <c r="F4" s="4">
        <f>AVERAGEIF(Standings!$B:$B,A4,Standings!$H:$H)</f>
        <v>5.4999999999999991</v>
      </c>
      <c r="G4" s="4">
        <f>AVERAGEIF(Standings!$B:$B,A4,Standings!$I:$I)</f>
        <v>2.9699999999999998</v>
      </c>
      <c r="H4" s="4">
        <f>SUMIF(Standings!$B:$B,A4,Standings!$J:$J)</f>
        <v>17</v>
      </c>
      <c r="I4" s="4">
        <f>SUMIF(Standings!$B:$B,A4,Standings!$K:$K)</f>
        <v>6</v>
      </c>
      <c r="J4" s="4"/>
    </row>
    <row r="5" spans="1:10" x14ac:dyDescent="0.25">
      <c r="A5" s="8" t="s">
        <v>25</v>
      </c>
      <c r="B5" s="9" t="s">
        <v>50</v>
      </c>
      <c r="C5" s="9" t="s">
        <v>51</v>
      </c>
      <c r="D5" s="4">
        <f>SUMIF(Standings!$B:$B,A5,Standings!$C:$C)</f>
        <v>148</v>
      </c>
      <c r="E5" s="4">
        <f>SUMIF(Standings!$B:$B,A5,Standings!$D:$D)</f>
        <v>172</v>
      </c>
      <c r="F5" s="4">
        <f>AVERAGEIF(Standings!$B:$B,A5,Standings!$H:$H)</f>
        <v>-1.6800000000000002</v>
      </c>
      <c r="G5" s="4">
        <f>AVERAGEIF(Standings!$B:$B,A5,Standings!$I:$I)</f>
        <v>0.6</v>
      </c>
      <c r="H5" s="4">
        <f>SUMIF(Standings!$B:$B,A5,Standings!$J:$J)</f>
        <v>6</v>
      </c>
      <c r="I5" s="4">
        <f>SUMIF(Standings!$B:$B,A5,Standings!$K:$K)</f>
        <v>0</v>
      </c>
      <c r="J5" s="4"/>
    </row>
    <row r="6" spans="1:10" x14ac:dyDescent="0.25">
      <c r="A6" s="6" t="s">
        <v>14</v>
      </c>
      <c r="B6" s="7" t="s">
        <v>50</v>
      </c>
      <c r="C6" s="7" t="s">
        <v>60</v>
      </c>
      <c r="D6" s="4">
        <f>SUMIF(Standings!$B:$B,A6,Standings!$C:$C)</f>
        <v>182</v>
      </c>
      <c r="E6" s="4">
        <f>SUMIF(Standings!$B:$B,A6,Standings!$D:$D)</f>
        <v>138</v>
      </c>
      <c r="F6" s="4">
        <f>AVERAGEIF(Standings!$B:$B,A6,Standings!$H:$H)</f>
        <v>1.4949999999999999</v>
      </c>
      <c r="G6" s="4">
        <f>AVERAGEIF(Standings!$B:$B,A6,Standings!$I:$I)</f>
        <v>0.55000000000000004</v>
      </c>
      <c r="H6" s="4">
        <f>SUMIF(Standings!$B:$B,A6,Standings!$J:$J)</f>
        <v>9</v>
      </c>
      <c r="I6" s="4">
        <f>SUMIF(Standings!$B:$B,A6,Standings!$K:$K)</f>
        <v>1</v>
      </c>
      <c r="J6" s="4"/>
    </row>
    <row r="7" spans="1:10" x14ac:dyDescent="0.25">
      <c r="A7" s="8" t="s">
        <v>19</v>
      </c>
      <c r="B7" s="9" t="s">
        <v>50</v>
      </c>
      <c r="C7" s="9" t="s">
        <v>60</v>
      </c>
      <c r="D7" s="4">
        <f>SUMIF(Standings!$B:$B,A7,Standings!$C:$C)</f>
        <v>166</v>
      </c>
      <c r="E7" s="4">
        <f>SUMIF(Standings!$B:$B,A7,Standings!$D:$D)</f>
        <v>154</v>
      </c>
      <c r="F7" s="4">
        <f>AVERAGEIF(Standings!$B:$B,A7,Standings!$H:$H)</f>
        <v>1.3199999999999998</v>
      </c>
      <c r="G7" s="4">
        <f>AVERAGEIF(Standings!$B:$B,A7,Standings!$I:$I)</f>
        <v>0.12999999999999987</v>
      </c>
      <c r="H7" s="4">
        <f>SUMIF(Standings!$B:$B,A7,Standings!$J:$J)</f>
        <v>9</v>
      </c>
      <c r="I7" s="4">
        <f>SUMIF(Standings!$B:$B,A7,Standings!$K:$K)</f>
        <v>1</v>
      </c>
      <c r="J7" s="4"/>
    </row>
    <row r="8" spans="1:10" x14ac:dyDescent="0.25">
      <c r="A8" s="6" t="s">
        <v>27</v>
      </c>
      <c r="B8" s="7" t="s">
        <v>50</v>
      </c>
      <c r="C8" s="7" t="s">
        <v>60</v>
      </c>
      <c r="D8" s="4">
        <f>SUMIF(Standings!$B:$B,A8,Standings!$C:$C)</f>
        <v>125</v>
      </c>
      <c r="E8" s="4">
        <f>SUMIF(Standings!$B:$B,A8,Standings!$D:$D)</f>
        <v>195</v>
      </c>
      <c r="F8" s="4">
        <f>AVERAGEIF(Standings!$B:$B,A8,Standings!$H:$H)</f>
        <v>-1.6350000000000002</v>
      </c>
      <c r="G8" s="4">
        <f>AVERAGEIF(Standings!$B:$B,A8,Standings!$I:$I)</f>
        <v>-1.9949999999999999</v>
      </c>
      <c r="H8" s="4">
        <f>SUMIF(Standings!$B:$B,A8,Standings!$J:$J)</f>
        <v>4</v>
      </c>
      <c r="I8" s="4">
        <f>SUMIF(Standings!$B:$B,A8,Standings!$K:$K)</f>
        <v>0</v>
      </c>
      <c r="J8" s="4"/>
    </row>
    <row r="9" spans="1:10" x14ac:dyDescent="0.25">
      <c r="A9" s="8" t="s">
        <v>31</v>
      </c>
      <c r="B9" s="9" t="s">
        <v>50</v>
      </c>
      <c r="C9" s="9" t="s">
        <v>60</v>
      </c>
      <c r="D9" s="4">
        <f>SUMIF(Standings!$B:$B,A9,Standings!$C:$C)</f>
        <v>162</v>
      </c>
      <c r="E9" s="4">
        <f>SUMIF(Standings!$B:$B,A9,Standings!$D:$D)</f>
        <v>158</v>
      </c>
      <c r="F9" s="4">
        <f>AVERAGEIF(Standings!$B:$B,A9,Standings!$H:$H)</f>
        <v>2.08</v>
      </c>
      <c r="G9" s="4">
        <f>AVERAGEIF(Standings!$B:$B,A9,Standings!$I:$I)</f>
        <v>0.27999999999999992</v>
      </c>
      <c r="H9" s="4">
        <f>SUMIF(Standings!$B:$B,A9,Standings!$J:$J)</f>
        <v>7</v>
      </c>
      <c r="I9" s="4">
        <f>SUMIF(Standings!$B:$B,A9,Standings!$K:$K)</f>
        <v>0</v>
      </c>
      <c r="J9" s="4"/>
    </row>
    <row r="10" spans="1:10" x14ac:dyDescent="0.25">
      <c r="A10" s="6" t="s">
        <v>7</v>
      </c>
      <c r="B10" s="7" t="s">
        <v>50</v>
      </c>
      <c r="C10" s="7" t="s">
        <v>69</v>
      </c>
      <c r="D10" s="4">
        <f>SUMIF(Standings!$B:$B,A10,Standings!$C:$C)</f>
        <v>190</v>
      </c>
      <c r="E10" s="4">
        <f>SUMIF(Standings!$B:$B,A10,Standings!$D:$D)</f>
        <v>130</v>
      </c>
      <c r="F10" s="4">
        <f>AVERAGEIF(Standings!$B:$B,A10,Standings!$H:$H)</f>
        <v>0.72</v>
      </c>
      <c r="G10" s="4">
        <f>AVERAGEIF(Standings!$B:$B,A10,Standings!$I:$I)</f>
        <v>3.3649999999999998</v>
      </c>
      <c r="H10" s="4">
        <f>SUMIF(Standings!$B:$B,A10,Standings!$J:$J)</f>
        <v>12</v>
      </c>
      <c r="I10" s="4">
        <f>SUMIF(Standings!$B:$B,A10,Standings!$K:$K)</f>
        <v>2</v>
      </c>
      <c r="J10" s="4"/>
    </row>
    <row r="11" spans="1:10" x14ac:dyDescent="0.25">
      <c r="A11" s="8" t="s">
        <v>11</v>
      </c>
      <c r="B11" s="9" t="s">
        <v>50</v>
      </c>
      <c r="C11" s="9" t="s">
        <v>69</v>
      </c>
      <c r="D11" s="4">
        <f>SUMIF(Standings!$B:$B,A11,Standings!$C:$C)</f>
        <v>145</v>
      </c>
      <c r="E11" s="4">
        <f>SUMIF(Standings!$B:$B,A11,Standings!$D:$D)</f>
        <v>172</v>
      </c>
      <c r="F11" s="4">
        <f>AVERAGEIF(Standings!$B:$B,A11,Standings!$H:$H)</f>
        <v>-0.4599999999999998</v>
      </c>
      <c r="G11" s="4">
        <f>AVERAGEIF(Standings!$B:$B,A11,Standings!$I:$I)</f>
        <v>-0.64</v>
      </c>
      <c r="H11" s="4">
        <f>SUMIF(Standings!$B:$B,A11,Standings!$J:$J)</f>
        <v>7</v>
      </c>
      <c r="I11" s="4">
        <f>SUMIF(Standings!$B:$B,A11,Standings!$K:$K)</f>
        <v>0</v>
      </c>
      <c r="J11" s="4"/>
    </row>
    <row r="12" spans="1:10" x14ac:dyDescent="0.25">
      <c r="A12" s="6" t="s">
        <v>12</v>
      </c>
      <c r="B12" s="7" t="s">
        <v>50</v>
      </c>
      <c r="C12" s="7" t="s">
        <v>69</v>
      </c>
      <c r="D12" s="4">
        <f>SUMIF(Standings!$B:$B,A12,Standings!$C:$C)</f>
        <v>99</v>
      </c>
      <c r="E12" s="4">
        <f>SUMIF(Standings!$B:$B,A12,Standings!$D:$D)</f>
        <v>220</v>
      </c>
      <c r="F12" s="4">
        <f>AVERAGEIF(Standings!$B:$B,A12,Standings!$H:$H)</f>
        <v>-3.9050000000000002</v>
      </c>
      <c r="G12" s="4">
        <f>AVERAGEIF(Standings!$B:$B,A12,Standings!$I:$I)</f>
        <v>-0.98000000000000009</v>
      </c>
      <c r="H12" s="4">
        <f>SUMIF(Standings!$B:$B,A12,Standings!$J:$J)</f>
        <v>1</v>
      </c>
      <c r="I12" s="4">
        <f>SUMIF(Standings!$B:$B,A12,Standings!$K:$K)</f>
        <v>0</v>
      </c>
      <c r="J12" s="4"/>
    </row>
    <row r="13" spans="1:10" x14ac:dyDescent="0.25">
      <c r="A13" s="8" t="s">
        <v>29</v>
      </c>
      <c r="B13" s="9" t="s">
        <v>50</v>
      </c>
      <c r="C13" s="9" t="s">
        <v>69</v>
      </c>
      <c r="D13" s="4">
        <f>SUMIF(Standings!$B:$B,A13,Standings!$C:$C)</f>
        <v>205</v>
      </c>
      <c r="E13" s="4">
        <f>SUMIF(Standings!$B:$B,A13,Standings!$D:$D)</f>
        <v>113</v>
      </c>
      <c r="F13" s="4">
        <f>AVERAGEIF(Standings!$B:$B,A13,Standings!$H:$H)</f>
        <v>1.4750000000000001</v>
      </c>
      <c r="G13" s="4">
        <f>AVERAGEIF(Standings!$B:$B,A13,Standings!$I:$I)</f>
        <v>2.9850000000000003</v>
      </c>
      <c r="H13" s="4">
        <f>SUMIF(Standings!$B:$B,A13,Standings!$J:$J)</f>
        <v>12</v>
      </c>
      <c r="I13" s="4">
        <f>SUMIF(Standings!$B:$B,A13,Standings!$K:$K)</f>
        <v>2</v>
      </c>
      <c r="J13" s="4"/>
    </row>
    <row r="14" spans="1:10" x14ac:dyDescent="0.25">
      <c r="A14" s="6" t="s">
        <v>39</v>
      </c>
      <c r="B14" s="7" t="s">
        <v>50</v>
      </c>
      <c r="C14" s="7" t="s">
        <v>78</v>
      </c>
      <c r="D14" s="4">
        <f>SUMIF(Standings!$B:$B,A14,Standings!$C:$C)</f>
        <v>131</v>
      </c>
      <c r="E14" s="4">
        <f>SUMIF(Standings!$B:$B,A14,Standings!$D:$D)</f>
        <v>157</v>
      </c>
      <c r="F14" s="4">
        <f>AVERAGEIF(Standings!$B:$B,A14,Standings!$H:$H)</f>
        <v>-1.2000000000000002</v>
      </c>
      <c r="G14" s="5">
        <f>AVERAGEIF(Standings!$B:$B,A14,Standings!$I:$I)</f>
        <v>-0.69444444444444453</v>
      </c>
      <c r="H14" s="4">
        <f>SUMIF(Standings!$B:$B,A14,Standings!$J:$J)</f>
        <v>6</v>
      </c>
      <c r="I14" s="4">
        <f>SUMIF(Standings!$B:$B,A14,Standings!$K:$K)</f>
        <v>0</v>
      </c>
      <c r="J14" s="4"/>
    </row>
    <row r="15" spans="1:10" x14ac:dyDescent="0.25">
      <c r="A15" s="8" t="s">
        <v>17</v>
      </c>
      <c r="B15" s="9" t="s">
        <v>50</v>
      </c>
      <c r="C15" s="9" t="s">
        <v>78</v>
      </c>
      <c r="D15" s="4">
        <f>SUMIF(Standings!$B:$B,A15,Standings!$C:$C)</f>
        <v>197</v>
      </c>
      <c r="E15" s="4">
        <f>SUMIF(Standings!$B:$B,A15,Standings!$D:$D)</f>
        <v>123</v>
      </c>
      <c r="F15" s="4">
        <f>AVERAGEIF(Standings!$B:$B,A15,Standings!$H:$H)</f>
        <v>2.9550000000000005</v>
      </c>
      <c r="G15" s="4">
        <f>AVERAGEIF(Standings!$B:$B,A15,Standings!$I:$I)</f>
        <v>-0.70500000000000007</v>
      </c>
      <c r="H15" s="4">
        <f>SUMIF(Standings!$B:$B,A15,Standings!$J:$J)</f>
        <v>14</v>
      </c>
      <c r="I15" s="4">
        <f>SUMIF(Standings!$B:$B,A15,Standings!$K:$K)</f>
        <v>1</v>
      </c>
      <c r="J15" s="4"/>
    </row>
    <row r="16" spans="1:10" x14ac:dyDescent="0.25">
      <c r="A16" s="6" t="s">
        <v>18</v>
      </c>
      <c r="B16" s="7" t="s">
        <v>50</v>
      </c>
      <c r="C16" s="7" t="s">
        <v>78</v>
      </c>
      <c r="D16" s="4">
        <f>SUMIF(Standings!$B:$B,A16,Standings!$C:$C)</f>
        <v>127</v>
      </c>
      <c r="E16" s="4">
        <f>SUMIF(Standings!$B:$B,A16,Standings!$D:$D)</f>
        <v>193</v>
      </c>
      <c r="F16" s="4">
        <f>AVERAGEIF(Standings!$B:$B,A16,Standings!$H:$H)</f>
        <v>-2.5000000000000004</v>
      </c>
      <c r="G16" s="4">
        <f>AVERAGEIF(Standings!$B:$B,A16,Standings!$I:$I)</f>
        <v>-6.4999999999999974E-2</v>
      </c>
      <c r="H16" s="4">
        <f>SUMIF(Standings!$B:$B,A16,Standings!$J:$J)</f>
        <v>3</v>
      </c>
      <c r="I16" s="4">
        <f>SUMIF(Standings!$B:$B,A16,Standings!$K:$K)</f>
        <v>0</v>
      </c>
      <c r="J16" s="4"/>
    </row>
    <row r="17" spans="1:10" x14ac:dyDescent="0.25">
      <c r="A17" s="8" t="s">
        <v>37</v>
      </c>
      <c r="B17" s="9" t="s">
        <v>50</v>
      </c>
      <c r="C17" s="9" t="s">
        <v>78</v>
      </c>
      <c r="D17" s="4">
        <f>SUMIF(Standings!$B:$B,A17,Standings!$C:$C)</f>
        <v>160</v>
      </c>
      <c r="E17" s="4">
        <f>SUMIF(Standings!$B:$B,A17,Standings!$D:$D)</f>
        <v>160</v>
      </c>
      <c r="F17" s="4">
        <f>AVERAGEIF(Standings!$B:$B,A17,Standings!$H:$H)</f>
        <v>-0.51000000000000012</v>
      </c>
      <c r="G17" s="4">
        <f>AVERAGEIF(Standings!$B:$B,A17,Standings!$I:$I)</f>
        <v>-0.76500000000000024</v>
      </c>
      <c r="H17" s="4">
        <f>SUMIF(Standings!$B:$B,A17,Standings!$J:$J)</f>
        <v>7</v>
      </c>
      <c r="I17" s="4">
        <f>SUMIF(Standings!$B:$B,A17,Standings!$K:$K)</f>
        <v>0</v>
      </c>
      <c r="J17" s="4"/>
    </row>
    <row r="18" spans="1:10" x14ac:dyDescent="0.25">
      <c r="A18" s="6" t="s">
        <v>13</v>
      </c>
      <c r="B18" s="7" t="s">
        <v>87</v>
      </c>
      <c r="C18" s="7" t="s">
        <v>51</v>
      </c>
      <c r="D18" s="4">
        <f>SUMIF(Standings!$B:$B,A18,Standings!$C:$C)</f>
        <v>168</v>
      </c>
      <c r="E18" s="4">
        <f>SUMIF(Standings!$B:$B,A18,Standings!$D:$D)</f>
        <v>152</v>
      </c>
      <c r="F18" s="4">
        <f>AVERAGEIF(Standings!$B:$B,A18,Standings!$H:$H)</f>
        <v>0.31999999999999995</v>
      </c>
      <c r="G18" s="4">
        <f>AVERAGEIF(Standings!$B:$B,A18,Standings!$I:$I)</f>
        <v>0.12499999999999993</v>
      </c>
      <c r="H18" s="4">
        <f>SUMIF(Standings!$B:$B,A18,Standings!$J:$J)</f>
        <v>7</v>
      </c>
      <c r="I18" s="4">
        <f>SUMIF(Standings!$B:$B,A18,Standings!$K:$K)</f>
        <v>0</v>
      </c>
      <c r="J18" s="4"/>
    </row>
    <row r="19" spans="1:10" x14ac:dyDescent="0.25">
      <c r="A19" s="8" t="s">
        <v>24</v>
      </c>
      <c r="B19" s="9" t="s">
        <v>87</v>
      </c>
      <c r="C19" s="9" t="s">
        <v>51</v>
      </c>
      <c r="D19" s="4">
        <f>SUMIF(Standings!$B:$B,A19,Standings!$C:$C)</f>
        <v>158</v>
      </c>
      <c r="E19" s="4">
        <f>SUMIF(Standings!$B:$B,A19,Standings!$D:$D)</f>
        <v>162</v>
      </c>
      <c r="F19" s="4">
        <f>AVERAGEIF(Standings!$B:$B,A19,Standings!$H:$H)</f>
        <v>0.13999999999999971</v>
      </c>
      <c r="G19" s="4">
        <f>AVERAGEIF(Standings!$B:$B,A19,Standings!$I:$I)</f>
        <v>-0.53499999999999981</v>
      </c>
      <c r="H19" s="4">
        <f>SUMIF(Standings!$B:$B,A19,Standings!$J:$J)</f>
        <v>8</v>
      </c>
      <c r="I19" s="4">
        <f>SUMIF(Standings!$B:$B,A19,Standings!$K:$K)</f>
        <v>2</v>
      </c>
      <c r="J19" s="4"/>
    </row>
    <row r="20" spans="1:10" x14ac:dyDescent="0.25">
      <c r="A20" s="6" t="s">
        <v>28</v>
      </c>
      <c r="B20" s="7" t="s">
        <v>87</v>
      </c>
      <c r="C20" s="7" t="s">
        <v>51</v>
      </c>
      <c r="D20" s="4">
        <f>SUMIF(Standings!$B:$B,A20,Standings!$C:$C)</f>
        <v>190</v>
      </c>
      <c r="E20" s="4">
        <f>SUMIF(Standings!$B:$B,A20,Standings!$D:$D)</f>
        <v>129</v>
      </c>
      <c r="F20" s="4">
        <f>AVERAGEIF(Standings!$B:$B,A20,Standings!$H:$H)</f>
        <v>2.2450000000000001</v>
      </c>
      <c r="G20" s="4">
        <f>AVERAGEIF(Standings!$B:$B,A20,Standings!$I:$I)</f>
        <v>1.04</v>
      </c>
      <c r="H20" s="4">
        <f>SUMIF(Standings!$B:$B,A20,Standings!$J:$J)</f>
        <v>13</v>
      </c>
      <c r="I20" s="4">
        <f>SUMIF(Standings!$B:$B,A20,Standings!$K:$K)</f>
        <v>1</v>
      </c>
      <c r="J20" s="4"/>
    </row>
    <row r="21" spans="1:10" x14ac:dyDescent="0.25">
      <c r="A21" s="8" t="s">
        <v>38</v>
      </c>
      <c r="B21" s="9" t="s">
        <v>87</v>
      </c>
      <c r="C21" s="9" t="s">
        <v>51</v>
      </c>
      <c r="D21" s="4">
        <f>SUMIF(Standings!$B:$B,A21,Standings!$C:$C)</f>
        <v>132</v>
      </c>
      <c r="E21" s="4">
        <f>SUMIF(Standings!$B:$B,A21,Standings!$D:$D)</f>
        <v>187</v>
      </c>
      <c r="F21" s="4">
        <f>AVERAGEIF(Standings!$B:$B,A21,Standings!$H:$H)</f>
        <v>-2.415</v>
      </c>
      <c r="G21" s="4">
        <f>AVERAGEIF(Standings!$B:$B,A21,Standings!$I:$I)</f>
        <v>-0.37000000000000005</v>
      </c>
      <c r="H21" s="4">
        <f>SUMIF(Standings!$B:$B,A21,Standings!$J:$J)</f>
        <v>4</v>
      </c>
      <c r="I21" s="4">
        <f>SUMIF(Standings!$B:$B,A21,Standings!$K:$K)</f>
        <v>0</v>
      </c>
      <c r="J21" s="4"/>
    </row>
    <row r="22" spans="1:10" x14ac:dyDescent="0.25">
      <c r="A22" s="6" t="s">
        <v>5</v>
      </c>
      <c r="B22" s="7" t="s">
        <v>87</v>
      </c>
      <c r="C22" s="7" t="s">
        <v>60</v>
      </c>
      <c r="D22" s="4">
        <f>SUMIF(Standings!$B:$B,A22,Standings!$C:$C)</f>
        <v>137</v>
      </c>
      <c r="E22" s="4">
        <f>SUMIF(Standings!$B:$B,A22,Standings!$D:$D)</f>
        <v>181</v>
      </c>
      <c r="F22" s="4">
        <f>AVERAGEIF(Standings!$B:$B,A22,Standings!$H:$H)</f>
        <v>-1.9149999999999998</v>
      </c>
      <c r="G22" s="4">
        <f>AVERAGEIF(Standings!$B:$B,A22,Standings!$I:$I)</f>
        <v>-2.0349999999999997</v>
      </c>
      <c r="H22" s="4">
        <f>SUMIF(Standings!$B:$B,A22,Standings!$J:$J)</f>
        <v>4</v>
      </c>
      <c r="I22" s="4">
        <f>SUMIF(Standings!$B:$B,A22,Standings!$K:$K)</f>
        <v>0</v>
      </c>
      <c r="J22" s="4"/>
    </row>
    <row r="23" spans="1:10" x14ac:dyDescent="0.25">
      <c r="A23" s="8" t="s">
        <v>35</v>
      </c>
      <c r="B23" s="9" t="s">
        <v>87</v>
      </c>
      <c r="C23" s="9" t="s">
        <v>60</v>
      </c>
      <c r="D23" s="4">
        <f>SUMIF(Standings!$B:$B,A23,Standings!$C:$C)</f>
        <v>144</v>
      </c>
      <c r="E23" s="4">
        <f>SUMIF(Standings!$B:$B,A23,Standings!$D:$D)</f>
        <v>175</v>
      </c>
      <c r="F23" s="4">
        <f>AVERAGEIF(Standings!$B:$B,A23,Standings!$H:$H)</f>
        <v>-0.49999999999999967</v>
      </c>
      <c r="G23" s="4">
        <f>AVERAGEIF(Standings!$B:$B,A23,Standings!$I:$I)</f>
        <v>-1.8550000000000004</v>
      </c>
      <c r="H23" s="4">
        <f>SUMIF(Standings!$B:$B,A23,Standings!$J:$J)</f>
        <v>6</v>
      </c>
      <c r="I23" s="4">
        <f>SUMIF(Standings!$B:$B,A23,Standings!$K:$K)</f>
        <v>0</v>
      </c>
      <c r="J23" s="4"/>
    </row>
    <row r="24" spans="1:10" x14ac:dyDescent="0.25">
      <c r="A24" s="6" t="s">
        <v>32</v>
      </c>
      <c r="B24" s="7" t="s">
        <v>87</v>
      </c>
      <c r="C24" s="7" t="s">
        <v>60</v>
      </c>
      <c r="D24" s="4">
        <f>SUMIF(Standings!$B:$B,A24,Standings!$C:$C)</f>
        <v>148</v>
      </c>
      <c r="E24" s="4">
        <f>SUMIF(Standings!$B:$B,A24,Standings!$D:$D)</f>
        <v>171</v>
      </c>
      <c r="F24" s="4">
        <f>AVERAGEIF(Standings!$B:$B,A24,Standings!$H:$H)</f>
        <v>-1.2799999999999991</v>
      </c>
      <c r="G24" s="4">
        <f>AVERAGEIF(Standings!$B:$B,A24,Standings!$I:$I)</f>
        <v>-0.52500000000000013</v>
      </c>
      <c r="H24" s="4">
        <f>SUMIF(Standings!$B:$B,A24,Standings!$J:$J)</f>
        <v>6</v>
      </c>
      <c r="I24" s="4">
        <f>SUMIF(Standings!$B:$B,A24,Standings!$K:$K)</f>
        <v>0</v>
      </c>
      <c r="J24" s="4"/>
    </row>
    <row r="25" spans="1:10" x14ac:dyDescent="0.25">
      <c r="A25" s="8" t="s">
        <v>33</v>
      </c>
      <c r="B25" s="9" t="s">
        <v>87</v>
      </c>
      <c r="C25" s="9" t="s">
        <v>60</v>
      </c>
      <c r="D25" s="4">
        <f>SUMIF(Standings!$B:$B,A25,Standings!$C:$C)</f>
        <v>182</v>
      </c>
      <c r="E25" s="4">
        <f>SUMIF(Standings!$B:$B,A25,Standings!$D:$D)</f>
        <v>137</v>
      </c>
      <c r="F25" s="4">
        <f>AVERAGEIF(Standings!$B:$B,A25,Standings!$H:$H)</f>
        <v>0.62</v>
      </c>
      <c r="G25" s="4">
        <f>AVERAGEIF(Standings!$B:$B,A25,Standings!$I:$I)</f>
        <v>1.05</v>
      </c>
      <c r="H25" s="4">
        <f>SUMIF(Standings!$B:$B,A25,Standings!$J:$J)</f>
        <v>13</v>
      </c>
      <c r="I25" s="4">
        <f>SUMIF(Standings!$B:$B,A25,Standings!$K:$K)</f>
        <v>1</v>
      </c>
      <c r="J25" s="4"/>
    </row>
    <row r="26" spans="1:10" x14ac:dyDescent="0.25">
      <c r="A26" s="6" t="s">
        <v>10</v>
      </c>
      <c r="B26" s="7" t="s">
        <v>87</v>
      </c>
      <c r="C26" s="7" t="s">
        <v>69</v>
      </c>
      <c r="D26" s="4">
        <f>SUMIF(Standings!$B:$B,A26,Standings!$C:$C)</f>
        <v>157</v>
      </c>
      <c r="E26" s="4">
        <f>SUMIF(Standings!$B:$B,A26,Standings!$D:$D)</f>
        <v>163</v>
      </c>
      <c r="F26" s="4">
        <f>AVERAGEIF(Standings!$B:$B,A26,Standings!$H:$H)</f>
        <v>-1.8900000000000001</v>
      </c>
      <c r="G26" s="4">
        <f>AVERAGEIF(Standings!$B:$B,A26,Standings!$I:$I)</f>
        <v>1.42</v>
      </c>
      <c r="H26" s="4">
        <f>SUMIF(Standings!$B:$B,A26,Standings!$J:$J)</f>
        <v>5</v>
      </c>
      <c r="I26" s="4">
        <f>SUMIF(Standings!$B:$B,A26,Standings!$K:$K)</f>
        <v>0</v>
      </c>
      <c r="J26" s="4"/>
    </row>
    <row r="27" spans="1:10" x14ac:dyDescent="0.25">
      <c r="A27" s="8" t="s">
        <v>15</v>
      </c>
      <c r="B27" s="9" t="s">
        <v>87</v>
      </c>
      <c r="C27" s="9" t="s">
        <v>69</v>
      </c>
      <c r="D27" s="4">
        <f>SUMIF(Standings!$B:$B,A27,Standings!$C:$C)</f>
        <v>114</v>
      </c>
      <c r="E27" s="4">
        <f>SUMIF(Standings!$B:$B,A27,Standings!$D:$D)</f>
        <v>205</v>
      </c>
      <c r="F27" s="4">
        <f>AVERAGEIF(Standings!$B:$B,A27,Standings!$H:$H)</f>
        <v>-0.96000000000000019</v>
      </c>
      <c r="G27" s="4">
        <f>AVERAGEIF(Standings!$B:$B,A27,Standings!$I:$I)</f>
        <v>-2.6149999999999998</v>
      </c>
      <c r="H27" s="4">
        <f>SUMIF(Standings!$B:$B,A27,Standings!$J:$J)</f>
        <v>3</v>
      </c>
      <c r="I27" s="4">
        <f>SUMIF(Standings!$B:$B,A27,Standings!$K:$K)</f>
        <v>0</v>
      </c>
      <c r="J27" s="4"/>
    </row>
    <row r="28" spans="1:10" x14ac:dyDescent="0.25">
      <c r="A28" s="6" t="s">
        <v>16</v>
      </c>
      <c r="B28" s="7" t="s">
        <v>87</v>
      </c>
      <c r="C28" s="7" t="s">
        <v>69</v>
      </c>
      <c r="D28" s="4">
        <f>SUMIF(Standings!$B:$B,A28,Standings!$C:$C)</f>
        <v>197</v>
      </c>
      <c r="E28" s="4">
        <f>SUMIF(Standings!$B:$B,A28,Standings!$D:$D)</f>
        <v>121</v>
      </c>
      <c r="F28" s="4">
        <f>AVERAGEIF(Standings!$B:$B,A28,Standings!$H:$H)</f>
        <v>3.3049999999999997</v>
      </c>
      <c r="G28" s="4">
        <f>AVERAGEIF(Standings!$B:$B,A28,Standings!$I:$I)</f>
        <v>0.39499999999999991</v>
      </c>
      <c r="H28" s="4">
        <f>SUMIF(Standings!$B:$B,A28,Standings!$J:$J)</f>
        <v>14</v>
      </c>
      <c r="I28" s="4">
        <f>SUMIF(Standings!$B:$B,A28,Standings!$K:$K)</f>
        <v>1</v>
      </c>
      <c r="J28" s="4"/>
    </row>
    <row r="29" spans="1:10" x14ac:dyDescent="0.25">
      <c r="A29" s="8" t="s">
        <v>21</v>
      </c>
      <c r="B29" s="9" t="s">
        <v>87</v>
      </c>
      <c r="C29" s="9" t="s">
        <v>69</v>
      </c>
      <c r="D29" s="4">
        <f>SUMIF(Standings!$B:$B,A29,Standings!$C:$C)</f>
        <v>165</v>
      </c>
      <c r="E29" s="4">
        <f>SUMIF(Standings!$B:$B,A29,Standings!$D:$D)</f>
        <v>153</v>
      </c>
      <c r="F29" s="4">
        <f>AVERAGEIF(Standings!$B:$B,A29,Standings!$H:$H)</f>
        <v>0.69000000000000006</v>
      </c>
      <c r="G29" s="4">
        <f>AVERAGEIF(Standings!$B:$B,A29,Standings!$I:$I)</f>
        <v>-6.4999999999999836E-2</v>
      </c>
      <c r="H29" s="4">
        <f>SUMIF(Standings!$B:$B,A29,Standings!$J:$J)</f>
        <v>8</v>
      </c>
      <c r="I29" s="4">
        <f>SUMIF(Standings!$B:$B,A29,Standings!$K:$K)</f>
        <v>0</v>
      </c>
      <c r="J29" s="4"/>
    </row>
    <row r="30" spans="1:10" x14ac:dyDescent="0.25">
      <c r="A30" s="6" t="s">
        <v>6</v>
      </c>
      <c r="B30" s="7" t="s">
        <v>87</v>
      </c>
      <c r="C30" s="7" t="s">
        <v>78</v>
      </c>
      <c r="D30" s="4">
        <f>SUMIF(Standings!$B:$B,A30,Standings!$C:$C)</f>
        <v>164</v>
      </c>
      <c r="E30" s="4">
        <f>SUMIF(Standings!$B:$B,A30,Standings!$D:$D)</f>
        <v>155</v>
      </c>
      <c r="F30" s="4">
        <f>AVERAGEIF(Standings!$B:$B,A30,Standings!$H:$H)</f>
        <v>0.37999999999999978</v>
      </c>
      <c r="G30" s="4">
        <f>AVERAGEIF(Standings!$B:$B,A30,Standings!$I:$I)</f>
        <v>-0.65500000000000003</v>
      </c>
      <c r="H30" s="4">
        <f>SUMIF(Standings!$B:$B,A30,Standings!$J:$J)</f>
        <v>8</v>
      </c>
      <c r="I30" s="4">
        <f>SUMIF(Standings!$B:$B,A30,Standings!$K:$K)</f>
        <v>0</v>
      </c>
      <c r="J30" s="4"/>
    </row>
    <row r="31" spans="1:10" x14ac:dyDescent="0.25">
      <c r="A31" s="8" t="s">
        <v>9</v>
      </c>
      <c r="B31" s="9" t="s">
        <v>87</v>
      </c>
      <c r="C31" s="9" t="s">
        <v>78</v>
      </c>
      <c r="D31" s="4">
        <f>SUMIF(Standings!$B:$B,A31,Standings!$C:$C)</f>
        <v>157</v>
      </c>
      <c r="E31" s="4">
        <f>SUMIF(Standings!$B:$B,A31,Standings!$D:$D)</f>
        <v>162</v>
      </c>
      <c r="F31" s="4">
        <f>AVERAGEIF(Standings!$B:$B,A31,Standings!$H:$H)</f>
        <v>-1.2149999999999999</v>
      </c>
      <c r="G31" s="4">
        <f>AVERAGEIF(Standings!$B:$B,A31,Standings!$I:$I)</f>
        <v>0.67000000000000015</v>
      </c>
      <c r="H31" s="4">
        <f>SUMIF(Standings!$B:$B,A31,Standings!$J:$J)</f>
        <v>7</v>
      </c>
      <c r="I31" s="4">
        <f>SUMIF(Standings!$B:$B,A31,Standings!$K:$K)</f>
        <v>0</v>
      </c>
      <c r="J31" s="4"/>
    </row>
    <row r="32" spans="1:10" x14ac:dyDescent="0.25">
      <c r="A32" s="6" t="s">
        <v>23</v>
      </c>
      <c r="B32" s="7" t="s">
        <v>87</v>
      </c>
      <c r="C32" s="7" t="s">
        <v>78</v>
      </c>
      <c r="D32" s="4">
        <f>SUMIF(Standings!$B:$B,A32,Standings!$C:$C)</f>
        <v>183</v>
      </c>
      <c r="E32" s="4">
        <f>SUMIF(Standings!$B:$B,A32,Standings!$D:$D)</f>
        <v>137</v>
      </c>
      <c r="F32" s="4">
        <f>AVERAGEIF(Standings!$B:$B,A32,Standings!$H:$H)</f>
        <v>3.7050000000000005</v>
      </c>
      <c r="G32" s="4">
        <f>AVERAGEIF(Standings!$B:$B,A32,Standings!$I:$I)</f>
        <v>-1.6849999999999994</v>
      </c>
      <c r="H32" s="4">
        <f>SUMIF(Standings!$B:$B,A32,Standings!$J:$J)</f>
        <v>9</v>
      </c>
      <c r="I32" s="4">
        <f>SUMIF(Standings!$B:$B,A32,Standings!$K:$K)</f>
        <v>1</v>
      </c>
      <c r="J32" s="4"/>
    </row>
    <row r="33" spans="1:10" x14ac:dyDescent="0.25">
      <c r="A33" s="8" t="s">
        <v>36</v>
      </c>
      <c r="B33" s="9" t="s">
        <v>87</v>
      </c>
      <c r="C33" s="9" t="s">
        <v>78</v>
      </c>
      <c r="D33" s="4">
        <f>SUMIF(Standings!$B:$B,A33,Standings!$C:$C)</f>
        <v>138</v>
      </c>
      <c r="E33" s="4">
        <f>SUMIF(Standings!$B:$B,A33,Standings!$D:$D)</f>
        <v>182</v>
      </c>
      <c r="F33" s="4">
        <f>AVERAGEIF(Standings!$B:$B,A33,Standings!$H:$H)</f>
        <v>-1.6050000000000004</v>
      </c>
      <c r="G33" s="4">
        <f>AVERAGEIF(Standings!$B:$B,A33,Standings!$I:$I)</f>
        <v>0.25000000000000011</v>
      </c>
      <c r="H33" s="4">
        <f>SUMIF(Standings!$B:$B,A33,Standings!$J:$J)</f>
        <v>5</v>
      </c>
      <c r="I33" s="4">
        <f>SUMIF(Standings!$B:$B,A33,Standings!$K:$K)</f>
        <v>1</v>
      </c>
      <c r="J33" s="4"/>
    </row>
    <row r="34" spans="1:10" x14ac:dyDescent="0.25">
      <c r="A34" s="10"/>
      <c r="B34" s="10"/>
      <c r="C34" s="10"/>
      <c r="D34" s="4"/>
      <c r="E34" s="4"/>
      <c r="F34" s="4"/>
      <c r="G34" s="4"/>
      <c r="H34" s="4"/>
      <c r="I34" s="4"/>
      <c r="J34" s="4"/>
    </row>
  </sheetData>
  <conditionalFormatting sqref="D1:D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242593-1E59-4B9E-B163-232C049FAF0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Attendance</vt:lpstr>
      <vt:lpstr>Standings</vt:lpstr>
      <vt:lpstr>NFL_Teams</vt:lpstr>
      <vt:lpstr>Census</vt:lpstr>
      <vt:lpstr>State_Win_Totals</vt:lpstr>
      <vt:lpstr>Divisional_Ratings</vt:lpstr>
      <vt:lpstr>Income_vs_Wins</vt:lpstr>
      <vt:lpstr>Team_Win_Totals</vt:lpstr>
      <vt:lpstr>Performance_Rating_Trends</vt:lpstr>
      <vt:lpstr>Team_Summary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Dobric</dc:creator>
  <cp:lastModifiedBy>Robert Dobric</cp:lastModifiedBy>
  <dcterms:created xsi:type="dcterms:W3CDTF">2026-04-17T20:05:12Z</dcterms:created>
  <dcterms:modified xsi:type="dcterms:W3CDTF">2026-05-04T19:45:38Z</dcterms:modified>
</cp:coreProperties>
</file>